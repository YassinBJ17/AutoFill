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R:\tools\oss_conf_gen_binary\data\"/>
    </mc:Choice>
  </mc:AlternateContent>
  <bookViews>
    <workbookView xWindow="0" yWindow="0" windowWidth="23040" windowHeight="8610"/>
  </bookViews>
  <sheets>
    <sheet name="OSS_CONF_Definition_Mapping" sheetId="4" r:id="rId1"/>
    <sheet name="Data" sheetId="5" r:id="rId2"/>
  </sheets>
  <functionGroups builtInGroupCount="18"/>
  <definedNames>
    <definedName name="_xlnm._FilterDatabase" localSheetId="0" hidden="1">OSS_CONF_Definition_Mapping!$D$1:$J$415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53" i="4" l="1"/>
  <c r="J354" i="4" l="1"/>
  <c r="J412" i="4" l="1"/>
  <c r="J411" i="4"/>
  <c r="J410" i="4"/>
  <c r="J409" i="4"/>
  <c r="J408" i="4"/>
  <c r="J407" i="4"/>
  <c r="J406" i="4"/>
  <c r="J405" i="4"/>
  <c r="J404" i="4"/>
  <c r="J403" i="4"/>
  <c r="J402" i="4"/>
  <c r="J401" i="4"/>
  <c r="J38" i="4" l="1"/>
  <c r="J37" i="4" l="1"/>
  <c r="J64" i="4" l="1"/>
  <c r="J60" i="4"/>
  <c r="J54" i="4"/>
  <c r="J48" i="4"/>
  <c r="J73" i="4" l="1"/>
  <c r="J388" i="4" l="1"/>
  <c r="J389" i="4"/>
  <c r="J390" i="4"/>
  <c r="J391" i="4"/>
  <c r="J392" i="4"/>
  <c r="J395" i="4"/>
  <c r="J396" i="4"/>
  <c r="J397" i="4"/>
  <c r="J398" i="4"/>
  <c r="J399" i="4"/>
  <c r="J66" i="4" l="1"/>
  <c r="J65" i="4"/>
  <c r="J67" i="4" l="1"/>
  <c r="J415" i="4" l="1"/>
  <c r="J414" i="4"/>
  <c r="J394" i="4"/>
  <c r="J387" i="4"/>
  <c r="J385" i="4"/>
  <c r="J384" i="4"/>
  <c r="J383" i="4"/>
  <c r="J382" i="4"/>
  <c r="J381" i="4"/>
  <c r="J379" i="4"/>
  <c r="J378" i="4"/>
  <c r="J377" i="4"/>
  <c r="J376" i="4"/>
  <c r="J375" i="4"/>
  <c r="J374" i="4"/>
  <c r="J372" i="4"/>
  <c r="J371" i="4"/>
  <c r="J370" i="4"/>
  <c r="J369" i="4"/>
  <c r="J368" i="4"/>
  <c r="J367" i="4"/>
  <c r="J365" i="4"/>
  <c r="J364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209" i="4"/>
  <c r="J208" i="4"/>
  <c r="J79" i="4"/>
  <c r="J78" i="4"/>
  <c r="J77" i="4"/>
  <c r="J76" i="4"/>
  <c r="J75" i="4"/>
  <c r="J74" i="4"/>
  <c r="J72" i="4"/>
  <c r="J71" i="4"/>
  <c r="J70" i="4"/>
  <c r="J69" i="4"/>
  <c r="J68" i="4"/>
  <c r="J63" i="4"/>
  <c r="J62" i="4"/>
  <c r="J61" i="4"/>
  <c r="J59" i="4"/>
  <c r="J58" i="4"/>
  <c r="J57" i="4"/>
  <c r="J56" i="4"/>
  <c r="J55" i="4"/>
  <c r="J53" i="4"/>
  <c r="J52" i="4"/>
  <c r="J51" i="4"/>
  <c r="J50" i="4"/>
  <c r="J49" i="4"/>
  <c r="J47" i="4"/>
  <c r="J46" i="4"/>
  <c r="J45" i="4"/>
  <c r="J44" i="4"/>
  <c r="J43" i="4"/>
  <c r="J42" i="4"/>
  <c r="J41" i="4"/>
  <c r="J40" i="4"/>
  <c r="J39" i="4"/>
  <c r="J7" i="4"/>
  <c r="J6" i="4"/>
  <c r="B3" i="4"/>
  <c r="J2" i="4"/>
  <c r="C2" i="4"/>
  <c r="C3" i="4" l="1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l="1"/>
  <c r="C6" i="4"/>
  <c r="C5" i="4"/>
  <c r="C4" i="4"/>
  <c r="C7" i="4"/>
  <c r="B37" i="4" l="1"/>
  <c r="C8" i="4"/>
  <c r="C37" i="4" l="1"/>
  <c r="B38" i="4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C9" i="4"/>
  <c r="B68" i="4" l="1"/>
  <c r="B69" i="4" s="1"/>
  <c r="B70" i="4" s="1"/>
  <c r="B71" i="4" s="1"/>
  <c r="B72" i="4" s="1"/>
  <c r="C10" i="4"/>
  <c r="B73" i="4" l="1"/>
  <c r="B74" i="4" s="1"/>
  <c r="B75" i="4" s="1"/>
  <c r="B76" i="4" s="1"/>
  <c r="B77" i="4" s="1"/>
  <c r="B78" i="4" s="1"/>
  <c r="C11" i="4"/>
  <c r="B79" i="4" l="1"/>
  <c r="B80" i="4" s="1"/>
  <c r="C12" i="4"/>
  <c r="B81" i="4" l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C83" i="4"/>
  <c r="C82" i="4"/>
  <c r="C87" i="4"/>
  <c r="C86" i="4"/>
  <c r="C88" i="4"/>
  <c r="C90" i="4"/>
  <c r="C92" i="4"/>
  <c r="C95" i="4"/>
  <c r="C96" i="4"/>
  <c r="C99" i="4"/>
  <c r="C98" i="4"/>
  <c r="C103" i="4"/>
  <c r="C102" i="4"/>
  <c r="C104" i="4"/>
  <c r="C106" i="4"/>
  <c r="C108" i="4"/>
  <c r="C111" i="4"/>
  <c r="C112" i="4"/>
  <c r="C116" i="4"/>
  <c r="C114" i="4"/>
  <c r="C117" i="4"/>
  <c r="C120" i="4"/>
  <c r="C122" i="4"/>
  <c r="C124" i="4"/>
  <c r="C125" i="4"/>
  <c r="C130" i="4"/>
  <c r="C129" i="4"/>
  <c r="C133" i="4"/>
  <c r="C136" i="4"/>
  <c r="C138" i="4"/>
  <c r="C142" i="4"/>
  <c r="C141" i="4"/>
  <c r="C146" i="4"/>
  <c r="C148" i="4"/>
  <c r="C149" i="4"/>
  <c r="C152" i="4"/>
  <c r="C156" i="4"/>
  <c r="C158" i="4"/>
  <c r="C157" i="4"/>
  <c r="C161" i="4"/>
  <c r="C164" i="4"/>
  <c r="C166" i="4"/>
  <c r="C170" i="4"/>
  <c r="C172" i="4"/>
  <c r="C174" i="4"/>
  <c r="C178" i="4"/>
  <c r="C177" i="4"/>
  <c r="C180" i="4"/>
  <c r="C184" i="4"/>
  <c r="C186" i="4"/>
  <c r="C188" i="4"/>
  <c r="C189" i="4"/>
  <c r="C194" i="4"/>
  <c r="C193" i="4"/>
  <c r="C197" i="4"/>
  <c r="C200" i="4"/>
  <c r="C202" i="4"/>
  <c r="C206" i="4"/>
  <c r="C205" i="4"/>
  <c r="C13" i="4"/>
  <c r="C204" i="4" l="1"/>
  <c r="C196" i="4"/>
  <c r="C190" i="4"/>
  <c r="C181" i="4"/>
  <c r="C173" i="4"/>
  <c r="C168" i="4"/>
  <c r="C162" i="4"/>
  <c r="C154" i="4"/>
  <c r="C145" i="4"/>
  <c r="C140" i="4"/>
  <c r="C132" i="4"/>
  <c r="C126" i="4"/>
  <c r="C201" i="4"/>
  <c r="C198" i="4"/>
  <c r="C192" i="4"/>
  <c r="C185" i="4"/>
  <c r="C182" i="4"/>
  <c r="C176" i="4"/>
  <c r="C169" i="4"/>
  <c r="C165" i="4"/>
  <c r="C160" i="4"/>
  <c r="C153" i="4"/>
  <c r="C150" i="4"/>
  <c r="C144" i="4"/>
  <c r="C137" i="4"/>
  <c r="C134" i="4"/>
  <c r="C128" i="4"/>
  <c r="C121" i="4"/>
  <c r="C118" i="4"/>
  <c r="C110" i="4"/>
  <c r="C107" i="4"/>
  <c r="C100" i="4"/>
  <c r="C94" i="4"/>
  <c r="C91" i="4"/>
  <c r="C84" i="4"/>
  <c r="C207" i="4"/>
  <c r="C203" i="4"/>
  <c r="C199" i="4"/>
  <c r="C195" i="4"/>
  <c r="C191" i="4"/>
  <c r="C187" i="4"/>
  <c r="C183" i="4"/>
  <c r="C179" i="4"/>
  <c r="C175" i="4"/>
  <c r="C171" i="4"/>
  <c r="C167" i="4"/>
  <c r="C163" i="4"/>
  <c r="C159" i="4"/>
  <c r="C155" i="4"/>
  <c r="C151" i="4"/>
  <c r="C147" i="4"/>
  <c r="C143" i="4"/>
  <c r="C139" i="4"/>
  <c r="C135" i="4"/>
  <c r="C131" i="4"/>
  <c r="C127" i="4"/>
  <c r="C123" i="4"/>
  <c r="C119" i="4"/>
  <c r="C115" i="4"/>
  <c r="C113" i="4"/>
  <c r="C109" i="4"/>
  <c r="C105" i="4"/>
  <c r="C101" i="4"/>
  <c r="C97" i="4"/>
  <c r="C93" i="4"/>
  <c r="C89" i="4"/>
  <c r="C85" i="4"/>
  <c r="C81" i="4"/>
  <c r="C211" i="4"/>
  <c r="B212" i="4"/>
  <c r="C14" i="4"/>
  <c r="B213" i="4" l="1"/>
  <c r="C212" i="4"/>
  <c r="C15" i="4"/>
  <c r="B214" i="4" l="1"/>
  <c r="C213" i="4"/>
  <c r="C16" i="4"/>
  <c r="B215" i="4" l="1"/>
  <c r="C214" i="4"/>
  <c r="C17" i="4"/>
  <c r="B216" i="4" l="1"/>
  <c r="C215" i="4"/>
  <c r="C18" i="4"/>
  <c r="B217" i="4" l="1"/>
  <c r="C216" i="4"/>
  <c r="C19" i="4"/>
  <c r="B218" i="4" l="1"/>
  <c r="C217" i="4"/>
  <c r="C20" i="4"/>
  <c r="B219" i="4" l="1"/>
  <c r="C218" i="4"/>
  <c r="C21" i="4"/>
  <c r="B220" i="4" l="1"/>
  <c r="C219" i="4"/>
  <c r="C22" i="4"/>
  <c r="B221" i="4" l="1"/>
  <c r="C220" i="4"/>
  <c r="C23" i="4"/>
  <c r="B222" i="4" l="1"/>
  <c r="C221" i="4"/>
  <c r="C24" i="4"/>
  <c r="B223" i="4" l="1"/>
  <c r="C222" i="4"/>
  <c r="C25" i="4"/>
  <c r="B224" i="4" l="1"/>
  <c r="C223" i="4"/>
  <c r="C26" i="4"/>
  <c r="B225" i="4" l="1"/>
  <c r="C224" i="4"/>
  <c r="C27" i="4"/>
  <c r="B226" i="4" l="1"/>
  <c r="C225" i="4"/>
  <c r="C28" i="4"/>
  <c r="B227" i="4" l="1"/>
  <c r="C226" i="4"/>
  <c r="C29" i="4"/>
  <c r="B228" i="4" l="1"/>
  <c r="C227" i="4"/>
  <c r="C30" i="4"/>
  <c r="B229" i="4" l="1"/>
  <c r="C228" i="4"/>
  <c r="C31" i="4"/>
  <c r="B230" i="4" l="1"/>
  <c r="C229" i="4"/>
  <c r="C32" i="4"/>
  <c r="B231" i="4" l="1"/>
  <c r="C230" i="4"/>
  <c r="C33" i="4"/>
  <c r="B232" i="4" l="1"/>
  <c r="C231" i="4"/>
  <c r="C34" i="4"/>
  <c r="B233" i="4" l="1"/>
  <c r="C232" i="4"/>
  <c r="C35" i="4"/>
  <c r="B234" i="4" l="1"/>
  <c r="C233" i="4"/>
  <c r="C38" i="4"/>
  <c r="C36" i="4"/>
  <c r="B235" i="4" l="1"/>
  <c r="C234" i="4"/>
  <c r="C39" i="4"/>
  <c r="B236" i="4" l="1"/>
  <c r="C235" i="4"/>
  <c r="C40" i="4"/>
  <c r="B237" i="4" l="1"/>
  <c r="C236" i="4"/>
  <c r="C41" i="4"/>
  <c r="B238" i="4" l="1"/>
  <c r="C237" i="4"/>
  <c r="C42" i="4"/>
  <c r="B239" i="4" l="1"/>
  <c r="C238" i="4"/>
  <c r="C43" i="4"/>
  <c r="B240" i="4" l="1"/>
  <c r="C239" i="4"/>
  <c r="C44" i="4"/>
  <c r="B241" i="4" l="1"/>
  <c r="C240" i="4"/>
  <c r="C45" i="4"/>
  <c r="B242" i="4" l="1"/>
  <c r="C241" i="4"/>
  <c r="C46" i="4"/>
  <c r="B243" i="4" l="1"/>
  <c r="C242" i="4"/>
  <c r="C48" i="4"/>
  <c r="C54" i="4"/>
  <c r="C47" i="4"/>
  <c r="B244" i="4" l="1"/>
  <c r="C243" i="4"/>
  <c r="C60" i="4"/>
  <c r="C49" i="4"/>
  <c r="B245" i="4" l="1"/>
  <c r="C244" i="4"/>
  <c r="C65" i="4"/>
  <c r="C50" i="4"/>
  <c r="B246" i="4" l="1"/>
  <c r="C245" i="4"/>
  <c r="C51" i="4"/>
  <c r="B247" i="4" l="1"/>
  <c r="C246" i="4"/>
  <c r="C52" i="4"/>
  <c r="B248" i="4" l="1"/>
  <c r="C247" i="4"/>
  <c r="C53" i="4"/>
  <c r="B249" i="4" l="1"/>
  <c r="C248" i="4"/>
  <c r="C55" i="4"/>
  <c r="B250" i="4" l="1"/>
  <c r="C249" i="4"/>
  <c r="C56" i="4"/>
  <c r="B251" i="4" l="1"/>
  <c r="C250" i="4"/>
  <c r="C57" i="4"/>
  <c r="B252" i="4" l="1"/>
  <c r="C251" i="4"/>
  <c r="C58" i="4"/>
  <c r="B253" i="4" l="1"/>
  <c r="C252" i="4"/>
  <c r="C59" i="4"/>
  <c r="B254" i="4" l="1"/>
  <c r="C253" i="4"/>
  <c r="C61" i="4"/>
  <c r="B255" i="4" l="1"/>
  <c r="C254" i="4"/>
  <c r="C62" i="4"/>
  <c r="B256" i="4" l="1"/>
  <c r="C255" i="4"/>
  <c r="C63" i="4"/>
  <c r="B257" i="4" l="1"/>
  <c r="C256" i="4"/>
  <c r="C64" i="4"/>
  <c r="B258" i="4" l="1"/>
  <c r="C257" i="4"/>
  <c r="C67" i="4"/>
  <c r="C66" i="4"/>
  <c r="B259" i="4" l="1"/>
  <c r="C258" i="4"/>
  <c r="C68" i="4"/>
  <c r="B260" i="4" l="1"/>
  <c r="C259" i="4"/>
  <c r="C69" i="4"/>
  <c r="B261" i="4" l="1"/>
  <c r="C260" i="4"/>
  <c r="C70" i="4"/>
  <c r="B262" i="4" l="1"/>
  <c r="C261" i="4"/>
  <c r="C71" i="4"/>
  <c r="B263" i="4" l="1"/>
  <c r="C262" i="4"/>
  <c r="C72" i="4"/>
  <c r="B264" i="4" l="1"/>
  <c r="C263" i="4"/>
  <c r="C73" i="4"/>
  <c r="B265" i="4" l="1"/>
  <c r="C264" i="4"/>
  <c r="C74" i="4"/>
  <c r="B266" i="4" l="1"/>
  <c r="C265" i="4"/>
  <c r="C75" i="4"/>
  <c r="B267" i="4" l="1"/>
  <c r="C266" i="4"/>
  <c r="C76" i="4"/>
  <c r="B268" i="4" l="1"/>
  <c r="C267" i="4"/>
  <c r="C77" i="4"/>
  <c r="B269" i="4" l="1"/>
  <c r="C268" i="4"/>
  <c r="C78" i="4"/>
  <c r="B270" i="4" l="1"/>
  <c r="C269" i="4"/>
  <c r="C79" i="4"/>
  <c r="B271" i="4" l="1"/>
  <c r="C270" i="4"/>
  <c r="C80" i="4"/>
  <c r="B272" i="4" l="1"/>
  <c r="C271" i="4"/>
  <c r="C208" i="4"/>
  <c r="B273" i="4" l="1"/>
  <c r="C272" i="4"/>
  <c r="C209" i="4"/>
  <c r="B274" i="4" l="1"/>
  <c r="C273" i="4"/>
  <c r="C210" i="4"/>
  <c r="B275" i="4" l="1"/>
  <c r="C274" i="4"/>
  <c r="B276" i="4" l="1"/>
  <c r="C275" i="4"/>
  <c r="B277" i="4" l="1"/>
  <c r="C276" i="4"/>
  <c r="B278" i="4" l="1"/>
  <c r="C277" i="4"/>
  <c r="B279" i="4" l="1"/>
  <c r="C278" i="4"/>
  <c r="B280" i="4" l="1"/>
  <c r="C279" i="4"/>
  <c r="B281" i="4" l="1"/>
  <c r="C280" i="4"/>
  <c r="C281" i="4" l="1"/>
  <c r="B282" i="4"/>
  <c r="B283" i="4" l="1"/>
  <c r="C282" i="4"/>
  <c r="B284" i="4" l="1"/>
  <c r="C283" i="4"/>
  <c r="B285" i="4" l="1"/>
  <c r="C284" i="4"/>
  <c r="B286" i="4" l="1"/>
  <c r="C285" i="4"/>
  <c r="B287" i="4" l="1"/>
  <c r="C286" i="4"/>
  <c r="B288" i="4" l="1"/>
  <c r="C287" i="4"/>
  <c r="B289" i="4" l="1"/>
  <c r="C288" i="4"/>
  <c r="B290" i="4" l="1"/>
  <c r="C289" i="4"/>
  <c r="B291" i="4" l="1"/>
  <c r="C290" i="4"/>
  <c r="B292" i="4" l="1"/>
  <c r="C291" i="4"/>
  <c r="B293" i="4" l="1"/>
  <c r="C292" i="4"/>
  <c r="B294" i="4" l="1"/>
  <c r="C293" i="4"/>
  <c r="B295" i="4" l="1"/>
  <c r="C294" i="4"/>
  <c r="B296" i="4" l="1"/>
  <c r="C295" i="4"/>
  <c r="B297" i="4" l="1"/>
  <c r="C296" i="4"/>
  <c r="B298" i="4" l="1"/>
  <c r="C297" i="4"/>
  <c r="B299" i="4" l="1"/>
  <c r="C298" i="4"/>
  <c r="B300" i="4" l="1"/>
  <c r="C299" i="4"/>
  <c r="B301" i="4" l="1"/>
  <c r="C300" i="4"/>
  <c r="B302" i="4" l="1"/>
  <c r="C301" i="4"/>
  <c r="B303" i="4" l="1"/>
  <c r="C302" i="4"/>
  <c r="B304" i="4" l="1"/>
  <c r="C303" i="4"/>
  <c r="B305" i="4" l="1"/>
  <c r="C304" i="4"/>
  <c r="B306" i="4" l="1"/>
  <c r="C305" i="4"/>
  <c r="B307" i="4" l="1"/>
  <c r="C306" i="4"/>
  <c r="B308" i="4" l="1"/>
  <c r="C307" i="4"/>
  <c r="B309" i="4" l="1"/>
  <c r="C308" i="4"/>
  <c r="B310" i="4" l="1"/>
  <c r="C309" i="4"/>
  <c r="B311" i="4" l="1"/>
  <c r="C310" i="4"/>
  <c r="B312" i="4" l="1"/>
  <c r="C311" i="4"/>
  <c r="B313" i="4" l="1"/>
  <c r="C312" i="4"/>
  <c r="B314" i="4" l="1"/>
  <c r="C313" i="4"/>
  <c r="B315" i="4" l="1"/>
  <c r="C314" i="4"/>
  <c r="B316" i="4" l="1"/>
  <c r="C315" i="4"/>
  <c r="B317" i="4" l="1"/>
  <c r="C316" i="4"/>
  <c r="B318" i="4" l="1"/>
  <c r="C317" i="4"/>
  <c r="B319" i="4" l="1"/>
  <c r="C318" i="4"/>
  <c r="B320" i="4" l="1"/>
  <c r="C319" i="4"/>
  <c r="B321" i="4" l="1"/>
  <c r="C320" i="4"/>
  <c r="B322" i="4" l="1"/>
  <c r="C321" i="4"/>
  <c r="B323" i="4" l="1"/>
  <c r="C322" i="4"/>
  <c r="B324" i="4" l="1"/>
  <c r="C323" i="4"/>
  <c r="B325" i="4" l="1"/>
  <c r="C324" i="4"/>
  <c r="B326" i="4" l="1"/>
  <c r="C325" i="4"/>
  <c r="B327" i="4" l="1"/>
  <c r="C326" i="4"/>
  <c r="B328" i="4" l="1"/>
  <c r="C327" i="4"/>
  <c r="B329" i="4" l="1"/>
  <c r="C328" i="4"/>
  <c r="B330" i="4" l="1"/>
  <c r="C329" i="4"/>
  <c r="B331" i="4" l="1"/>
  <c r="C330" i="4"/>
  <c r="B332" i="4" l="1"/>
  <c r="C331" i="4"/>
  <c r="B333" i="4" l="1"/>
  <c r="C332" i="4"/>
  <c r="B334" i="4" l="1"/>
  <c r="C333" i="4"/>
  <c r="B335" i="4" l="1"/>
  <c r="C334" i="4"/>
  <c r="B336" i="4" l="1"/>
  <c r="C335" i="4"/>
  <c r="B337" i="4" l="1"/>
  <c r="C336" i="4"/>
  <c r="B338" i="4" l="1"/>
  <c r="C337" i="4"/>
  <c r="B339" i="4" l="1"/>
  <c r="C338" i="4"/>
  <c r="B340" i="4" l="1"/>
  <c r="C339" i="4"/>
  <c r="B341" i="4" l="1"/>
  <c r="C340" i="4"/>
  <c r="B342" i="4" l="1"/>
  <c r="C341" i="4"/>
  <c r="B343" i="4" l="1"/>
  <c r="C342" i="4"/>
  <c r="B344" i="4" l="1"/>
  <c r="C343" i="4"/>
  <c r="B345" i="4" l="1"/>
  <c r="C344" i="4"/>
  <c r="B346" i="4" l="1"/>
  <c r="C345" i="4"/>
  <c r="B347" i="4" l="1"/>
  <c r="C346" i="4"/>
  <c r="B348" i="4" l="1"/>
  <c r="C347" i="4"/>
  <c r="B349" i="4" l="1"/>
  <c r="C348" i="4"/>
  <c r="B350" i="4" l="1"/>
  <c r="C349" i="4"/>
  <c r="B351" i="4" l="1"/>
  <c r="C350" i="4"/>
  <c r="B352" i="4" l="1"/>
  <c r="B353" i="4" s="1"/>
  <c r="C351" i="4"/>
  <c r="C352" i="4" l="1"/>
  <c r="C353" i="4" l="1"/>
  <c r="B354" i="4"/>
  <c r="C354" i="4" l="1"/>
  <c r="B355" i="4"/>
  <c r="B356" i="4" l="1"/>
  <c r="C355" i="4"/>
  <c r="B357" i="4" l="1"/>
  <c r="C356" i="4"/>
  <c r="B358" i="4" l="1"/>
  <c r="C357" i="4"/>
  <c r="B359" i="4" l="1"/>
  <c r="C358" i="4"/>
  <c r="B360" i="4" l="1"/>
  <c r="C359" i="4"/>
  <c r="B361" i="4" l="1"/>
  <c r="C360" i="4"/>
  <c r="B362" i="4" l="1"/>
  <c r="C361" i="4"/>
  <c r="B363" i="4" l="1"/>
  <c r="C362" i="4"/>
  <c r="B364" i="4" l="1"/>
  <c r="C363" i="4"/>
  <c r="B365" i="4" l="1"/>
  <c r="C364" i="4"/>
  <c r="B366" i="4" l="1"/>
  <c r="C365" i="4"/>
  <c r="B367" i="4" l="1"/>
  <c r="C366" i="4"/>
  <c r="B368" i="4" l="1"/>
  <c r="C367" i="4"/>
  <c r="C368" i="4" l="1"/>
  <c r="B369" i="4"/>
  <c r="B370" i="4" l="1"/>
  <c r="C369" i="4"/>
  <c r="C370" i="4" l="1"/>
  <c r="B371" i="4"/>
  <c r="B372" i="4" l="1"/>
  <c r="C371" i="4"/>
  <c r="B373" i="4" l="1"/>
  <c r="C372" i="4"/>
  <c r="B374" i="4" l="1"/>
  <c r="C373" i="4"/>
  <c r="B375" i="4" l="1"/>
  <c r="C374" i="4"/>
  <c r="B376" i="4" l="1"/>
  <c r="C375" i="4"/>
  <c r="B377" i="4" l="1"/>
  <c r="C376" i="4"/>
  <c r="C377" i="4" l="1"/>
  <c r="B378" i="4"/>
  <c r="B379" i="4" l="1"/>
  <c r="C378" i="4"/>
  <c r="B380" i="4" l="1"/>
  <c r="C379" i="4"/>
  <c r="B381" i="4" l="1"/>
  <c r="C380" i="4"/>
  <c r="B382" i="4" l="1"/>
  <c r="C381" i="4"/>
  <c r="B383" i="4" l="1"/>
  <c r="C382" i="4"/>
  <c r="B384" i="4" l="1"/>
  <c r="C383" i="4"/>
  <c r="B385" i="4" l="1"/>
  <c r="C384" i="4"/>
  <c r="B386" i="4" l="1"/>
  <c r="C385" i="4"/>
  <c r="B387" i="4" l="1"/>
  <c r="C386" i="4"/>
  <c r="B388" i="4" l="1"/>
  <c r="C387" i="4"/>
  <c r="B389" i="4" l="1"/>
  <c r="C388" i="4"/>
  <c r="B390" i="4" l="1"/>
  <c r="C389" i="4"/>
  <c r="B391" i="4" l="1"/>
  <c r="C390" i="4"/>
  <c r="B392" i="4" l="1"/>
  <c r="C391" i="4"/>
  <c r="B393" i="4" l="1"/>
  <c r="C392" i="4"/>
  <c r="B394" i="4" l="1"/>
  <c r="C393" i="4"/>
  <c r="B395" i="4" l="1"/>
  <c r="C394" i="4"/>
  <c r="B396" i="4" l="1"/>
  <c r="C395" i="4"/>
  <c r="B397" i="4" l="1"/>
  <c r="C396" i="4"/>
  <c r="B398" i="4" l="1"/>
  <c r="C397" i="4"/>
  <c r="B399" i="4" l="1"/>
  <c r="C398" i="4"/>
  <c r="B400" i="4" l="1"/>
  <c r="C399" i="4"/>
  <c r="B401" i="4" l="1"/>
  <c r="C400" i="4"/>
  <c r="C401" i="4" l="1"/>
  <c r="B402" i="4"/>
  <c r="C402" i="4" l="1"/>
  <c r="B403" i="4"/>
  <c r="B404" i="4" l="1"/>
  <c r="C403" i="4"/>
  <c r="B405" i="4" l="1"/>
  <c r="C404" i="4"/>
  <c r="B406" i="4" l="1"/>
  <c r="C405" i="4"/>
  <c r="C406" i="4" l="1"/>
  <c r="B407" i="4"/>
  <c r="B408" i="4" l="1"/>
  <c r="C407" i="4"/>
  <c r="B409" i="4" l="1"/>
  <c r="C408" i="4"/>
  <c r="B410" i="4" l="1"/>
  <c r="C409" i="4"/>
  <c r="B411" i="4" l="1"/>
  <c r="C410" i="4"/>
  <c r="B412" i="4" l="1"/>
  <c r="C411" i="4"/>
  <c r="B413" i="4" l="1"/>
  <c r="C412" i="4"/>
  <c r="B414" i="4" l="1"/>
  <c r="C413" i="4"/>
  <c r="C414" i="4" l="1"/>
  <c r="B415" i="4"/>
  <c r="C415" i="4" s="1"/>
</calcChain>
</file>

<file path=xl/sharedStrings.xml><?xml version="1.0" encoding="utf-8"?>
<sst xmlns="http://schemas.openxmlformats.org/spreadsheetml/2006/main" count="4253" uniqueCount="750">
  <si>
    <t>-</t>
  </si>
  <si>
    <t>Name</t>
  </si>
  <si>
    <t>Type</t>
  </si>
  <si>
    <t>Min</t>
  </si>
  <si>
    <t>Max</t>
  </si>
  <si>
    <t>Range</t>
  </si>
  <si>
    <t>OVS_NGInhib</t>
  </si>
  <si>
    <t>OVS_CSSInhib</t>
  </si>
  <si>
    <t>OVS_OneSensorNGInhib</t>
  </si>
  <si>
    <t>OVS_OneSensorNTLInhib</t>
  </si>
  <si>
    <t>Interlock_Inhib</t>
  </si>
  <si>
    <t>NTLOS1_NL</t>
  </si>
  <si>
    <t>NTLOS1_NH</t>
  </si>
  <si>
    <t>NTLOS2_NL</t>
  </si>
  <si>
    <t>NTLOS2_NH</t>
  </si>
  <si>
    <t>NTL_OVSTHRESD_N</t>
  </si>
  <si>
    <t>NTL_OVS_FUNCTION</t>
  </si>
  <si>
    <t>NGOS1_NL</t>
  </si>
  <si>
    <t>NGOS1_NH</t>
  </si>
  <si>
    <t>NGOS2_NL</t>
  </si>
  <si>
    <t>NGOS2_NH</t>
  </si>
  <si>
    <t>NG_OVSTHRESD_N</t>
  </si>
  <si>
    <t>NGOS1_Timeout</t>
  </si>
  <si>
    <t>NGOS1_100</t>
  </si>
  <si>
    <t>NGOS2_Timeout</t>
  </si>
  <si>
    <t>NGOS2_100</t>
  </si>
  <si>
    <t>NTL_OVSTHRESD_Threshold</t>
  </si>
  <si>
    <t>NTLOS1_Timeout</t>
  </si>
  <si>
    <t>NTLOS1_100</t>
  </si>
  <si>
    <t>NTLOS2_Timeout</t>
  </si>
  <si>
    <t>NTLOS2_100</t>
  </si>
  <si>
    <t>NTL_OVSTHRESD_Window</t>
  </si>
  <si>
    <t>NG_OVSTHRESD_Threshold</t>
  </si>
  <si>
    <t>NG_OVSTHRESD_Window</t>
  </si>
  <si>
    <t>Size (Oct)</t>
  </si>
  <si>
    <t>Spare</t>
  </si>
  <si>
    <t>Unit</t>
  </si>
  <si>
    <t>ms</t>
  </si>
  <si>
    <t>Hz</t>
  </si>
  <si>
    <t>% NTL</t>
  </si>
  <si>
    <t>% NG</t>
  </si>
  <si>
    <t>%NTL</t>
  </si>
  <si>
    <t>Number of periods for NGOS2 Low Side channel measurement</t>
  </si>
  <si>
    <t>Number of periods for NGOS2 High Side channel measurement</t>
  </si>
  <si>
    <t>Time-out for NGOS1 measurement</t>
  </si>
  <si>
    <t>NGOS1 frequency corresponding to 100 % NG rotation speed</t>
  </si>
  <si>
    <t>Number of periods for NGOS1 Low Side channel measurement</t>
  </si>
  <si>
    <t>Number of periods for NGOS1 High Side channel measurement</t>
  </si>
  <si>
    <t>Time-out for NGOS2 measurement</t>
  </si>
  <si>
    <t>NGOS2 frequency corresponding to 100 % NG rotation speed</t>
  </si>
  <si>
    <t>Number of periods for NTLOS2 Low Side channel measurement</t>
  </si>
  <si>
    <t>Number of periods for NTLOS1 High Side channel measurement</t>
  </si>
  <si>
    <t>Number of periods for NTLOS1 Low Side channel measurement</t>
  </si>
  <si>
    <t>Number of periods for NTLOS2 High Side channel measurement</t>
  </si>
  <si>
    <t>Time-out for NTLOS1 measurement</t>
  </si>
  <si>
    <t>NTLOS1 frequency corresponding to 100 % NTL rotation speed</t>
  </si>
  <si>
    <t>Time-out for NTLOS2 measurement</t>
  </si>
  <si>
    <t>NTLOS2 frequency corresponding to 100 % NTL rotation speed</t>
  </si>
  <si>
    <t>NTL overspeed threshold configuration
1 = fixed parameter
2 = variable parameter function of NG overspeed measures</t>
  </si>
  <si>
    <t>NTL overspeed threshold</t>
  </si>
  <si>
    <t>NTL overspeed confirmation window</t>
  </si>
  <si>
    <t>NG overspeed threshold</t>
  </si>
  <si>
    <t>NG overspeed confirmation window</t>
  </si>
  <si>
    <t>Number of confirmations for the NG overspeed threshold detection logic</t>
  </si>
  <si>
    <t>Number of confirmations for the NTL overspeed threshold detection logic</t>
  </si>
  <si>
    <t>0x0000</t>
  </si>
  <si>
    <t>0xFFFF</t>
  </si>
  <si>
    <t>CSS_PU_TASK_CONFIG</t>
  </si>
  <si>
    <t>MCSS_CONFIGURATION</t>
  </si>
  <si>
    <t>XRB_CALRES_SELECT</t>
  </si>
  <si>
    <t>LVDTA_SENSOR_TYPE</t>
  </si>
  <si>
    <t>LVDTA_EXC_FREQ</t>
  </si>
  <si>
    <t>LVDTB_SENSOR_TYPE</t>
  </si>
  <si>
    <t>LVDTB_EXC_FREQ</t>
  </si>
  <si>
    <t>LVDTC_SENSOR_TYPE</t>
  </si>
  <si>
    <t>LVDTC_EXC_FREQ</t>
  </si>
  <si>
    <t>NGALT_NMAX</t>
  </si>
  <si>
    <t>NGALT_NMIN</t>
  </si>
  <si>
    <t>NGALT_NREV</t>
  </si>
  <si>
    <t>NGALT_TIMEOUT</t>
  </si>
  <si>
    <t>NFREQ2_NMAX</t>
  </si>
  <si>
    <t>NFREQ2_NMIN</t>
  </si>
  <si>
    <t>NFREQ2_NREV</t>
  </si>
  <si>
    <t>NFREQ2_TIMEOUT</t>
  </si>
  <si>
    <t>NFREQ4_NMAX</t>
  </si>
  <si>
    <t>NFREQ4_NMIN</t>
  </si>
  <si>
    <t>NFREQ4_NREV</t>
  </si>
  <si>
    <t>NFREQ4_TIMEOUT</t>
  </si>
  <si>
    <t>DIN_N_FILTER</t>
  </si>
  <si>
    <t>SVOI_N_FILTER</t>
  </si>
  <si>
    <t>EMAN_N_FILTER</t>
  </si>
  <si>
    <t>SM_SPEED</t>
  </si>
  <si>
    <t>TM_FREEZE_CONF</t>
  </si>
  <si>
    <t>RS422A_BAUD</t>
  </si>
  <si>
    <t>RS422A_PARITY_BIT</t>
  </si>
  <si>
    <t>RS422A_STOP_BIT</t>
  </si>
  <si>
    <t>RS422B_BAUD</t>
  </si>
  <si>
    <t>RS422B_PARITY_BIT</t>
  </si>
  <si>
    <t>RS422B_STOP_BIT</t>
  </si>
  <si>
    <t>CAN1_02B_AUTHORIZED</t>
  </si>
  <si>
    <t>CAN1_ADAPT_PRESENCE</t>
  </si>
  <si>
    <t>CAN1_BAUD</t>
  </si>
  <si>
    <t>CAN2_BAUD</t>
  </si>
  <si>
    <t>0x444FADEC</t>
  </si>
  <si>
    <t>Configuration of CSS_PU tasks to be sequenced :
0xFADEC111 = 1_PERIODIC_TASK
0x444FADEC = 4_PERIODIC_TASK</t>
  </si>
  <si>
    <t>RTC</t>
  </si>
  <si>
    <t>Maximum number of periods for NGALT measurement</t>
  </si>
  <si>
    <t>Maximum number of periods for NFREQ2 measurement</t>
  </si>
  <si>
    <t>Maximum number of periods for NFREQ4 measurement</t>
  </si>
  <si>
    <t>Minimum number of periods for NGALT measurement</t>
  </si>
  <si>
    <t>Number of revolution periods for NGALT measurement</t>
  </si>
  <si>
    <t>Number of revolution periods for NFREQ2 measurement</t>
  </si>
  <si>
    <t>Number of revolution periods for NFREQ4 measurement</t>
  </si>
  <si>
    <t>Time-out for NGALT measurement, defined in multiple of RTC.</t>
  </si>
  <si>
    <t>Minimum number of periods for NFREQ2 measurement</t>
  </si>
  <si>
    <t>Minimum number of periods for NFREQ4 measurement</t>
  </si>
  <si>
    <t>Time-out for NFREQ2 measurement, defined in multiple of RTC.</t>
  </si>
  <si>
    <t>Number of periods for NFREQ3 measurement</t>
  </si>
  <si>
    <t>Time-out for NFREQ3 measurement, defined in multiple of RTC.</t>
  </si>
  <si>
    <t>Number of cycles for the filtering of DIN1 to DIN 16</t>
  </si>
  <si>
    <t>Number of cycles for the filtering of the SVOI</t>
  </si>
  <si>
    <t>Number of cycles for the filtering of the EMAN</t>
  </si>
  <si>
    <t>OVS_NGOS1NGALTARatio</t>
  </si>
  <si>
    <t>OVS_NGOS2NGALTARatio</t>
  </si>
  <si>
    <t>OVS_NGOS1NGALTBRatio</t>
  </si>
  <si>
    <t>OVS_NGOS2NGALTBRatio</t>
  </si>
  <si>
    <t>OVS_NTLOS1NTLARatio</t>
  </si>
  <si>
    <t>OVS_NTLOS2NTLARatio</t>
  </si>
  <si>
    <t>OVS_NTLOS1NTLBRatio</t>
  </si>
  <si>
    <t>OVS_NTLOS2NTLBRatio</t>
  </si>
  <si>
    <t>NGOS1 / NGALT ratio for NGALTA</t>
  </si>
  <si>
    <t>NGOS2 / NGALT ratio for NGALTA</t>
  </si>
  <si>
    <t>NGOS1 / NGALT ratio for NGALTB</t>
  </si>
  <si>
    <t>NGOS2 / NGALT ratio for NGALTB</t>
  </si>
  <si>
    <t>[5,0; 25,0]</t>
  </si>
  <si>
    <t>% NGALT</t>
  </si>
  <si>
    <t>NTLOS1 / NFREQ2 ratio for NTLA</t>
  </si>
  <si>
    <t>NTLOS2 / NFREQ2 ratio for NTLA</t>
  </si>
  <si>
    <t>NTLOS1 / NFREQ2 ratio for NTLB</t>
  </si>
  <si>
    <t>NTLOS2 / NFREQ2 ratio for NTLB</t>
  </si>
  <si>
    <t>[0,3; 3,0]</t>
  </si>
  <si>
    <t>% NTLA</t>
  </si>
  <si>
    <t>% NTLB</t>
  </si>
  <si>
    <t>NFREQ2_TH_FREQUENCY</t>
  </si>
  <si>
    <t>NFREQ4_TH_FREQUENCY</t>
  </si>
  <si>
    <t>Time-out for NFREQ4 measurement, defined in multiple of RTC.</t>
  </si>
  <si>
    <t>T1_configuration</t>
  </si>
  <si>
    <t>T2_configuration</t>
  </si>
  <si>
    <t>TFF_configuration</t>
  </si>
  <si>
    <t>SAI1_select</t>
  </si>
  <si>
    <t>SAI2_select</t>
  </si>
  <si>
    <t>SAI3_select</t>
  </si>
  <si>
    <t>SAI4_select</t>
  </si>
  <si>
    <t>POT1_sensor_type</t>
  </si>
  <si>
    <t>POT2_sensor_type</t>
  </si>
  <si>
    <t>0xFADEC111</t>
  </si>
  <si>
    <t>Description</t>
  </si>
  <si>
    <t>Inhibition of the NTL Overspeed Threshold detection logic
0 = Not_Inhibited
1 = Inhibited</t>
  </si>
  <si>
    <t>OVS_NTLB_IDENT</t>
  </si>
  <si>
    <t>OVS_NTLA_IDENT</t>
  </si>
  <si>
    <t>Inhibition of the activation of DOUTINHIB output (Only for NG Overspeed detection)
0 = Not_Inhibited
1 = Inhibited</t>
  </si>
  <si>
    <t>Inhibition of the capacity to operate of the overspeed protection function with only one NTL sensor available
0 = Not_Inhibited
1 = Inhibited</t>
  </si>
  <si>
    <t>Inhibition of the capacity to operate of the overspeed protection function with only one NG sensor available
0 = Not_Inhibited
1 = Inhibited</t>
  </si>
  <si>
    <t>Inhibition of the NG Overspeed detection logic
0 = Not_Inhibited
1 = Inhibited</t>
  </si>
  <si>
    <t>0xFFFFFFFF</t>
  </si>
  <si>
    <t>Type of LVDTA Sensor
0 = Sensor LVDT type 1
1 = Sensor LVDT type 2</t>
  </si>
  <si>
    <t>Frequency of LVDTA Sensor excitation
0 = 2500 Hz
1 = 2900 Hz</t>
  </si>
  <si>
    <t>Type of LVDTB Sensor
0 = Sensor LVDT type 1
1 = Sensor LVDT type 2</t>
  </si>
  <si>
    <t>Frequency of LVDTB Sensor excitation
0 = 2500 Hz
1 = 2900 Hz</t>
  </si>
  <si>
    <t>Type of LVDTC Sensor
0 = Sensor LVDT type 1
1 = Sensor LVDT type 2</t>
  </si>
  <si>
    <t>Frequency of LVDTC Sensor excitation
0 = 2500 Hz
1 = 2900 Hz</t>
  </si>
  <si>
    <t>Bit parity setting of RS422_A link :
0 = No parity
1 = Odd parity 
2 = Even parity</t>
  </si>
  <si>
    <t>Bit stop setting of RS422_A link :
0 = 1 stop bit
1 = 2 stop bits</t>
  </si>
  <si>
    <t>Bit parity setting of RS422_B link :
0 = No parity
1 = Odd parity
2 = Even parity</t>
  </si>
  <si>
    <t>Bit stop setting of RS422_B link :
0 = 1 stop bit
1 = 2 stop bits</t>
  </si>
  <si>
    <t>Speed for A429_1A data link
0 = 12.5 kHz
1 = 100 kHz</t>
  </si>
  <si>
    <t>Speed for A429_2AB data link
0 = 12.5 kHz
1 = 100 kHz</t>
  </si>
  <si>
    <t>A429_2AB transmit data link is controlled by:
0 = Channel A
1 = Channel B
2 = Channel in control</t>
  </si>
  <si>
    <t>Standard to use for CAN1 according to ISO 11898 :
0 = CAN 2.0A (11 bits identifiers)
1 = CAN 2.0B (29 bits identifiers)</t>
  </si>
  <si>
    <t>Standard to use for CAN2 according to ISO 11898 :
0 = CAN 2.0A (11 bits identifiers)
1 = CAN 2.0B (29 bits identifiers)</t>
  </si>
  <si>
    <t>CAN1 link speed :
0 = 125 kbit/s
1 = 250 kbit/s
2 = 500 kbit/s
3 = 1000 kbit/s</t>
  </si>
  <si>
    <t>CAN2 link speed :
0 = 125 kbit/s
1 = 250 kbit/s
2 = 500 kbit/s
3 = 1000 kbit/s</t>
  </si>
  <si>
    <t>Frequency of Stepper Motor</t>
  </si>
  <si>
    <t>N/A</t>
  </si>
  <si>
    <t>T1 configuration
0 = PT100 configuration
1 = PT1000 configuration</t>
  </si>
  <si>
    <t>T2 configuration
0 = PT100 configuration
1 = PT1000 configuration</t>
  </si>
  <si>
    <t>TFF configuration
0 = PT100 configuration
1 = PT1000 configuration</t>
  </si>
  <si>
    <t>POT1 sensor type :
0 = Potentiometer type
1 = Differential type</t>
  </si>
  <si>
    <t>POT2 sensor type :
0 = Potentiometer type
1 = Differential type</t>
  </si>
  <si>
    <t>Identification of NTL sensor on channel A
0 = FREQ1A
1 = FREQ2A</t>
  </si>
  <si>
    <t>Identification of NTL sensor on channel B
0 = FREQ1B
1 = FREQ2B</t>
  </si>
  <si>
    <t>Inhibition of the CSS_PU Overspeed detection logic
0 = Not_Inhibited
1 = Inhibited</t>
  </si>
  <si>
    <t>0x00000000</t>
  </si>
  <si>
    <t>OSS_CONF_32BitCRC</t>
  </si>
  <si>
    <t>MCSS_Period_to_CSS_Fast_Dest</t>
  </si>
  <si>
    <t>CSS_Fast_to_CSS_Slow_Dest</t>
  </si>
  <si>
    <t>CSS_Fast_to_CSS_VSlow_Dest</t>
  </si>
  <si>
    <t>CSS_Fast_to_CSS_BGrnd_Dest</t>
  </si>
  <si>
    <t>CSS_Fast_to_MCSS_Period_Dest</t>
  </si>
  <si>
    <t>CSS_Slow_to_CSS_Fast_Dest</t>
  </si>
  <si>
    <t>CSS_Slow_to_CSS_VSlow_Dest</t>
  </si>
  <si>
    <t>CSS_Slow_to_CSS_BGrnd_Dest</t>
  </si>
  <si>
    <t>CSS_VSlow_to_CSS_Fast_Dest</t>
  </si>
  <si>
    <t>CSS_VSlow_to_CSS_Slow_Dest</t>
  </si>
  <si>
    <t>CSS_VSlow_to_CSS_BGrnd_Dest</t>
  </si>
  <si>
    <t>CSS_BGrnd_to_CSS_Fast_Dest</t>
  </si>
  <si>
    <t>CSS_BGrnd_to_CSS_Slow_Dest</t>
  </si>
  <si>
    <t>CSS_BGrnd_to_CSS_VSlow_Dest</t>
  </si>
  <si>
    <t>CSS_Fast_to_CSS_Slow_Start</t>
  </si>
  <si>
    <t>CSS_Fast_to_CSS_VSlow_Start</t>
  </si>
  <si>
    <t>CSS_Fast_to_CSS_BGrnd_Start</t>
  </si>
  <si>
    <t>CSS_Fast_to_MCSS_Period_Start</t>
  </si>
  <si>
    <t>CSS_Slow_to_CSS_Fast_Start</t>
  </si>
  <si>
    <t>CSS_Slow_to_CSS_VSlow_Start</t>
  </si>
  <si>
    <t>CSS_Slow_to_CSS_BGrnd_Start</t>
  </si>
  <si>
    <t>CSS_VSlow_to_CSS_Fast_Start</t>
  </si>
  <si>
    <t>CSS_VSlow_to_CSS_Slow_Start</t>
  </si>
  <si>
    <t>CSS_VSlow_to_CSS_BGrnd_Start</t>
  </si>
  <si>
    <t>CSS_BGrnd_to_CSS_Fast_Start</t>
  </si>
  <si>
    <t>CSS_BGrnd_to_CSS_Slow_Start</t>
  </si>
  <si>
    <t>CSS_BGrnd_to_CSS_VSlow_Start</t>
  </si>
  <si>
    <t>MCSS_Period_to_CSS_Fast_Start</t>
  </si>
  <si>
    <t>Offset (decimal)</t>
  </si>
  <si>
    <t>Offset (hexadecimal)</t>
  </si>
  <si>
    <t>0x21000000</t>
  </si>
  <si>
    <t>MCSS attendance :
0 = MCCS not activated / not loaded
1 = MCSS activated</t>
  </si>
  <si>
    <t>0x4002A000</t>
  </si>
  <si>
    <t>SAI1 selection
0 = Strain Gauge Bridge Input 1
1 = Standardized Analog Input 1</t>
  </si>
  <si>
    <t>SAI2 selection
0 = Strain Gauge Bridge Input 1
1 = Standardized Analog Input 1</t>
  </si>
  <si>
    <t>SAI3 selection
0 = Strain Gauge Bridge Input 1
1 = Standardized Analog Input 1</t>
  </si>
  <si>
    <t>SAI4 selection
0 = Strain Gauge Bridge Input 1
1 = Standardized Analog Input 1</t>
  </si>
  <si>
    <t>OSS_CONF_PartNumber</t>
  </si>
  <si>
    <t>0xCC01</t>
  </si>
  <si>
    <t>0xCCFF</t>
  </si>
  <si>
    <t>OSS_PU Configuration</t>
  </si>
  <si>
    <t>OVSP Configuration</t>
  </si>
  <si>
    <t>Section</t>
  </si>
  <si>
    <t>First NG Overspeed Threshold for NTL Variable Threshold</t>
  </si>
  <si>
    <t>Second NG Overspeed Threshold for NTL Variable Threshold</t>
  </si>
  <si>
    <t>Third NG Overspeed Threshold for NTL Variable Threshold</t>
  </si>
  <si>
    <t>Fourth NG Overspeed Threshold for NTL Variable Threshold</t>
  </si>
  <si>
    <t>First value to determine NTL Overspeed Threshold function of NG</t>
  </si>
  <si>
    <t>Fifth NG Overspeed Threshold for NTL Variable Threshold</t>
  </si>
  <si>
    <t>Sixth NG Overspeed Threshold for NTL Variable Threshold</t>
  </si>
  <si>
    <t>Second value to determine NTL Overspeed Threshold function of NG</t>
  </si>
  <si>
    <t>Third value to determine NTL Overspeed Threshold function of NG</t>
  </si>
  <si>
    <t>Fourth value to determine NTL Overspeed Threshold function of NG</t>
  </si>
  <si>
    <t>Fifth value to determine NTL Overspeed Threshold function of NG</t>
  </si>
  <si>
    <t>Sixth value to determine NTL Overspeed Threshold function of NG</t>
  </si>
  <si>
    <t>32-bit CRC of whole OSS_CONF file.</t>
  </si>
  <si>
    <t>Spare data for 32-bit alignment</t>
  </si>
  <si>
    <t>OSS_CONF HEADER</t>
  </si>
  <si>
    <t>OSS_CONF CRC</t>
  </si>
  <si>
    <t>OVSP_Config_16BitCRC</t>
  </si>
  <si>
    <t>16-bit CRC of OVSP Configuration section.</t>
  </si>
  <si>
    <t>OSS_CONF_FileCompatibility</t>
  </si>
  <si>
    <t>NFREQ3_TH_FREQUENCY</t>
  </si>
  <si>
    <t>NFREQ3_RATIO</t>
  </si>
  <si>
    <t>%</t>
  </si>
  <si>
    <t>Maximum Ratio for NFREQ3</t>
  </si>
  <si>
    <t>[0;3]</t>
  </si>
  <si>
    <t>Number of Authorized CPU reset in case of Fatal anomaly</t>
  </si>
  <si>
    <t>Definitive_Reset_Threshold</t>
  </si>
  <si>
    <t>Maximum frequency for NFREQ3 measurement</t>
  </si>
  <si>
    <t>TX activation on ARINC during IBIT (loopback test):
0 = Not enabled
1 = Enabled</t>
  </si>
  <si>
    <t>NGALT_TH_FREQUENCY</t>
  </si>
  <si>
    <t>Maximum frequency for NGALT measurement</t>
  </si>
  <si>
    <t>Maximum frequency for NFREQ2 measurement</t>
  </si>
  <si>
    <t>Maximum frequency for NFREQ4 measurement</t>
  </si>
  <si>
    <r>
      <t>NFREQ3</t>
    </r>
    <r>
      <rPr>
        <sz val="11"/>
        <color theme="1"/>
        <rFont val="Calibri"/>
        <family val="2"/>
        <scheme val="minor"/>
      </rPr>
      <t>_TIMEOUT</t>
    </r>
  </si>
  <si>
    <t>NFREQ3_NREV</t>
  </si>
  <si>
    <t>Spare data is used to make the OVSP Configuration area size equal to 128 Bytes</t>
  </si>
  <si>
    <t>Spare data for 32-bit alignment and to start OSS_PU Configuration area at a rounded address</t>
  </si>
  <si>
    <t>Spare data to split memory area, for 32-bit alignment and to start OVSP Configuration area at a rounded address</t>
  </si>
  <si>
    <t>File Compatibility for SW/SW compatibility verification with OSS_PU.
First byte is 0xCC, then second is modified at each compatibility change.</t>
  </si>
  <si>
    <t>Table of couples SDI + Label to be received by the A429_1A link.
Maximum ARINC messages: 128</t>
  </si>
  <si>
    <t>Table of couples SDI + Label to be received by the A429_2AB link.
Maximum ARINC messages: 128</t>
  </si>
  <si>
    <t>Inconsistency 1 threshold selection for NGALT measurement</t>
  </si>
  <si>
    <t>Inconsistency 1 threshold selection for NFREQ2 measurement</t>
  </si>
  <si>
    <t>Inconsistency 1 threshold selection for NFREQ4 measurement</t>
  </si>
  <si>
    <t>Inconsistency 2 threshold selection for NFREQ3 measurement</t>
  </si>
  <si>
    <t>Unsigned Char</t>
  </si>
  <si>
    <t>Signed Char</t>
  </si>
  <si>
    <t>Unsigned Short</t>
  </si>
  <si>
    <t>Signed Short</t>
  </si>
  <si>
    <t>Unsigned Long</t>
  </si>
  <si>
    <t>Signed Long</t>
  </si>
  <si>
    <t>Float32</t>
  </si>
  <si>
    <t>Float64</t>
  </si>
  <si>
    <t>CAN2_02B_AUTHORIZED</t>
  </si>
  <si>
    <t>NG_OVSTHRESD_Threshold_Ar [0]</t>
  </si>
  <si>
    <t>NG_OVSTHRESD_Threshold_Ar [1]</t>
  </si>
  <si>
    <t>NG_OVSTHRESD_Threshold_Ar [2]</t>
  </si>
  <si>
    <t>NG_OVSTHRESD_Threshold_Ar [3]</t>
  </si>
  <si>
    <t>NG_OVSTHRESD_Threshold_Ar [4]</t>
  </si>
  <si>
    <t>NG_OVSTHRESD_Threshold_Ar [5]</t>
  </si>
  <si>
    <t>0x00</t>
  </si>
  <si>
    <t>{0x00}</t>
  </si>
  <si>
    <t>[0x21000000; 0x211FFC00] U {0xFFFFFFFF}</t>
  </si>
  <si>
    <t>Start address of communication zone between CSS_PU_FAST_TASK to CSS_PU_SLOW_TASK
0xFFFFFFFF value is used when communication is not used</t>
  </si>
  <si>
    <t>Destination address of communication zone between CSS_PU_FAST_TASK to CSS_PU_SLOW_TASK
0xFFFFFFFF value is used when communication is not used</t>
  </si>
  <si>
    <t>Start address of communication zone between CSS_PU_FAST_TASK to CSS_PU_VERY_SLOW_TASK
0xFFFFFFFF value is used when communication is not used</t>
  </si>
  <si>
    <t>Destination address of communication zone between CSS_PU_FAST_TASK to CSS_PU_VERY_SLOW_TASK
0xFFFFFFFF value is used when communication is not used</t>
  </si>
  <si>
    <t>Start address of a communication zone between CSS_PU_FAST_TASK to CSS_PU_BACKGROUND_TASK
0xFFFFFFFF value is used when communication is not used</t>
  </si>
  <si>
    <t>Destination address of a communication zone between CSS_PU_FAST_TASK to CSS_PU_BACKGROUND_TASK
0xFFFFFFFF value is used when communication is not used</t>
  </si>
  <si>
    <t>Start address of a communication zone between CSS_PU_FAST_TASK to MCSS_PU_PERIODIC_TASK
0xFFFFFFFF value is used when communication is not used</t>
  </si>
  <si>
    <t>[0x4002A000; 0x4002DC00] U {0xFFFFFFFF}</t>
  </si>
  <si>
    <t>Destination address of a communication zone between CSS_PU_FAST_TASK to MCSS_PU_PERIODIC_TASK
0xFFFFFFFF value is used when communication is not used</t>
  </si>
  <si>
    <t>Start address of a communication zone between CSS_PU_SLOW_TASK to CSS_PU_FAST_TASK
0xFFFFFFFF value is used when communication is not used</t>
  </si>
  <si>
    <t>Destination address of a communication zone between CSS_PU_SLOW_TASK to CSS_PU_FAST_TASK
0xFFFFFFFF value is used when communication is not used</t>
  </si>
  <si>
    <t>Start address of a communication zone between CSS_PU_SLOW_TASK to CSS_PU_VERY_SLOW_TASK
0xFFFFFFFF value is used when communication is not used</t>
  </si>
  <si>
    <t>Destination address of a communication zone between CSS_PU_SLOW_TASK to CSS_PU_VERY_SLOW_TASK
0xFFFFFFFF value is used when communication is not used</t>
  </si>
  <si>
    <t>Start address of a communication zone between CSS_PU_SLOW_TASK to CSS_PU_BACKGROUND_TASK
0xFFFFFFFF value is used when communication is not used</t>
  </si>
  <si>
    <t>Destination address of a communication zone between CSS_PU_SLOW_TASK to CSS_PU_BACKGROUND_TASK
0xFFFFFFFF value is used when communication is not used</t>
  </si>
  <si>
    <t>Start address of a communication zone between CSS_PU_VERY_SLOW_TASK to CSS_PU_FAST_TASK
0xFFFFFFFF value is used when communication is not used</t>
  </si>
  <si>
    <t>Destination address of a communication zone between CSS_PU_VERY_SLOW_TASK to CSS_PU_FAST_TASK
0xFFFFFFFF value is used when communication is not used</t>
  </si>
  <si>
    <t>Start address of a communication zone between CSS_PU_VERY_SLOW_TASK to CSS_PU_SLOW_TASK
0xFFFFFFFF value is used when communication is not used</t>
  </si>
  <si>
    <t>Destination address of a communication zone between CSS_PU_VERY_SLOW_TASK to CSS_PU_SLOW_TASK
0xFFFFFFFF value is used when communication is not used</t>
  </si>
  <si>
    <t>Start address of a communication zone between CSS_PU_VERY_SLOW_TASK to CSS_PU_BACKGROUND_TASK
0xFFFFFFFF value is used when communication is not used</t>
  </si>
  <si>
    <t>Destination address of a communication zone between CSS_PU_VERY_SLOW_TASK to CSS_PU_BACKGROUND_TASK
0xFFFFFFFF value is used when communication is not used</t>
  </si>
  <si>
    <t>Start address of a communication zone between CSS_PU_BACKGROUND_TASK to CSS_PU_FAST_TASK
0xFFFFFFFF value is used when communication is not used</t>
  </si>
  <si>
    <t>Destination address of a communication zone between CSS_PU_BACKGROUND_TASK to CSS_PU_FAST_TASK
0xFFFFFFFF value is used when communication is not used</t>
  </si>
  <si>
    <t>Start address of a communication zone between CSS_PU_BACKGROUND_TASK to CSS_PU_SLOW_TASK
0xFFFFFFFF value is used when communication is not used</t>
  </si>
  <si>
    <t>Destination address of a communication zone between CSS_PU_BACKGROUND_TASK to CSS_PU_SLOW_TASK
0xFFFFFFFF value is used when communication is not used</t>
  </si>
  <si>
    <t>Start address of a communication zone between CSS_PU_BACKGROUND_TASK to CSS_PU_VERY_SLOW_TASK
0xFFFFFFFF value is used when communication is not used</t>
  </si>
  <si>
    <t>Destination address of a communication zone between CSS_PU_BACKGROUND_TASK to CSS_PU_VERY_SLOW_TASK
0xFFFFFFFF value is used when communication is not used</t>
  </si>
  <si>
    <t>Start address of a communication zone between MCSS_PU_PERIODIC_TASK to CSS_PU_FAST_TASK
0xFFFFFFFF value is used when communication is not used</t>
  </si>
  <si>
    <t>Destination address of a communication zone between MCSS_PU_PERIODIC_TASK to CSS_PU_FAST_TASK
0xFFFFFFFF value is used when communication is not used</t>
  </si>
  <si>
    <t>Speed of RS422_A link
0 = 9600 baud
1 = 19200 baud
2 = 115 200 baud
3 = 460 800 baud
4 = 921 600 baud
5 = 1 000 000 baud</t>
  </si>
  <si>
    <t>Speed of RS422_B link
0 = 9600 baud
1 = 19200 baud
2 = 115 200 baud
3 = 460 800 baud
4 = 921 600 baud
5 = 1 000 000 baud</t>
  </si>
  <si>
    <t>NGALT_INC_1_TH_SEL</t>
  </si>
  <si>
    <t>NFREQ2_INC_1_TH_SEL</t>
  </si>
  <si>
    <t>NFREQ4_INC_1_TH_SEL</t>
  </si>
  <si>
    <t>NFREQ3_INC_2_TH_SEL</t>
  </si>
  <si>
    <t>OVS_NTLThresholdInhib</t>
  </si>
  <si>
    <t>NTL_OVSVARIABLE_Threshold_Ar [0]</t>
  </si>
  <si>
    <t>NTL_OVSVARIABLE_Threshold_Ar [1]</t>
  </si>
  <si>
    <t>NTL_OVSVARIABLE_Threshold_Ar [2]</t>
  </si>
  <si>
    <t>NTL_OVSVARIABLE_Threshold_Ar [3]</t>
  </si>
  <si>
    <t>NTL_OVSVARIABLE_Threshold_Ar [4]</t>
  </si>
  <si>
    <t>NTL_OVSVARIABLE_Threshold_Ar [5]</t>
  </si>
  <si>
    <t>Configuration of command of Torque Mortor when system is in state "Control is frozen"
0 = command of TM is deactivated for the 2 channels
1 = command of TM is activated only for active channel</t>
  </si>
  <si>
    <t>CCT</t>
  </si>
  <si>
    <t>PDS Coverage</t>
  </si>
  <si>
    <t>TM_FADEX_CALC_ICD_8100</t>
  </si>
  <si>
    <t>TM_FADEX_CALC_ICD_1382</t>
  </si>
  <si>
    <t>TM_FADEX_CALC_ICD_1420
TM_FADEX_CALC_1410</t>
  </si>
  <si>
    <t>FADEX-PDS-00118
FADEX-PDS-00120
FADEX-PDS-01301</t>
  </si>
  <si>
    <t>TM_FADEX_CALC_ICD_1441
TM_FADEX_CALC_1410</t>
  </si>
  <si>
    <t>TM_FADEX_CALC_ICD_1443
TM_FADEX_CALC_1410</t>
  </si>
  <si>
    <t>TM_FADEX_CALC_ICD_1720
TM_FADEX_CALC_1650</t>
  </si>
  <si>
    <t>FADEX-PDS-00827</t>
  </si>
  <si>
    <t>TM_FADEX_CALC_1710
TM_FADEX_CALC_1740</t>
  </si>
  <si>
    <t>FADEX-PDS-00115 
FADEX-PDS- 01283</t>
  </si>
  <si>
    <t>TM_FADEX_CALC_ICD_1760
TM_FADEX_CALC_1650</t>
  </si>
  <si>
    <t>TM_FADEX_CALC_1750
TM_FADEX_CALC_1780</t>
  </si>
  <si>
    <t xml:space="preserve">FADEX-PDS-00714
FADEX-PDS-01289 </t>
  </si>
  <si>
    <t>TM_FADEX_CALC_ICD_1870
TM_FADEX_CALC_1650</t>
  </si>
  <si>
    <t xml:space="preserve">TM_FADEX_CALC_1860 </t>
  </si>
  <si>
    <t>FADEX-PDS-00718</t>
  </si>
  <si>
    <t>TM_FADEX_CALC_ICD_1870</t>
  </si>
  <si>
    <t>TM_FADEX_CALC_ICD_1910
TM_FADEX_CALC_1900</t>
  </si>
  <si>
    <t>FADEX-PDS-00834</t>
  </si>
  <si>
    <t>TM_FADEX_CALC_1900</t>
  </si>
  <si>
    <t>TM_FADEX_CALC_ICD_1940</t>
  </si>
  <si>
    <t>TM_FADEX_CALC_ICD_1980</t>
  </si>
  <si>
    <t>TM_FADEX_CALC_ICD_2010</t>
  </si>
  <si>
    <t>TM_FADEX_CALC_2050
TM_FADEX_CALC_ICD_2060</t>
  </si>
  <si>
    <t>TM_FADEX_CALC_ICD_2090</t>
  </si>
  <si>
    <r>
      <t xml:space="preserve">TM_FADEX_CALC_ICD_2650
</t>
    </r>
    <r>
      <rPr>
        <sz val="11"/>
        <color rgb="FFFF0000"/>
        <rFont val="Calibri"/>
        <family val="2"/>
        <scheme val="minor"/>
      </rPr>
      <t>TM_FADEX_CALC_2640</t>
    </r>
  </si>
  <si>
    <t>FADEX-PDS-00564-02</t>
  </si>
  <si>
    <t>TM_FADEX_CALC_ICD_2650</t>
  </si>
  <si>
    <t>TM_FADEX_CALC_ICD_2690</t>
  </si>
  <si>
    <t>TM_FADEX_CALC_2720</t>
  </si>
  <si>
    <t>FADEX-PDS-01249</t>
  </si>
  <si>
    <t>TM_FADEX_CALC_2770</t>
  </si>
  <si>
    <t>FADEX-PDS-01250</t>
  </si>
  <si>
    <t>TM_FADEX_CALC_ICD_2805</t>
  </si>
  <si>
    <t>TM_FADEX_CALC_ICD_2810</t>
  </si>
  <si>
    <t xml:space="preserve">TM_FADEX_CALC_930
TM_FADEX_CALC_960 </t>
  </si>
  <si>
    <t xml:space="preserve">FADEX-PDS-00484
FADEX-PDS-00771 </t>
  </si>
  <si>
    <t xml:space="preserve">TM_FADEX_CALC_970
TM_FADEX_CALC_990 </t>
  </si>
  <si>
    <t xml:space="preserve">FADEX-PDS-00774
FADEX-PDS-00777 </t>
  </si>
  <si>
    <t>TM_FADEX_CALC_1000
TM_FADEX_CALC_1015</t>
  </si>
  <si>
    <t xml:space="preserve">FADEX-PDS-00780
FADEX-PDS-00783 </t>
  </si>
  <si>
    <t xml:space="preserve">TM_FADEX_CALC_1050 </t>
  </si>
  <si>
    <t xml:space="preserve">FADEX-PDS-01267 </t>
  </si>
  <si>
    <t xml:space="preserve">TM_FADEX_CALC_1080 </t>
  </si>
  <si>
    <t xml:space="preserve">FADEX-PDS-01270 </t>
  </si>
  <si>
    <t xml:space="preserve">TM_FADEX_CALC_1110 </t>
  </si>
  <si>
    <t xml:space="preserve">FADEX-PDS-01274 </t>
  </si>
  <si>
    <t xml:space="preserve">TM_FADEX_CALC_1190 </t>
  </si>
  <si>
    <t xml:space="preserve">FADEX-PDS-01280 </t>
  </si>
  <si>
    <t xml:space="preserve">TM_FADEX_CALC_1310 </t>
  </si>
  <si>
    <t>TM_FADEX_CALC_ICD_4790</t>
  </si>
  <si>
    <t>TM_FADEX_CALC_ICD_4020</t>
  </si>
  <si>
    <t>TM_FADEX_CALC_ICD_4520</t>
  </si>
  <si>
    <t>TM_FADEX_CALC_ICD_4150</t>
  </si>
  <si>
    <t>TM_FADEX_CALC_ICD_4180</t>
  </si>
  <si>
    <t>TM_FADEX_CALC_ICD_4330</t>
  </si>
  <si>
    <t>TM_FADEX_CALC_ICD_4320</t>
  </si>
  <si>
    <t>TM_FADEX_CALC_ICD_4100</t>
  </si>
  <si>
    <t>TM_FADEX_CALC_ICD_4120</t>
  </si>
  <si>
    <t>TM_FADEX_CALC_ICD_4440</t>
  </si>
  <si>
    <t>TM_FADEX_CALC_ICD_4332</t>
  </si>
  <si>
    <t>TM_FADEX_CALC_ICD_4331</t>
  </si>
  <si>
    <t>String</t>
  </si>
  <si>
    <t xml:space="preserve">ShortOccurrenceTrigger </t>
  </si>
  <si>
    <t>Number of occurrences to reach before sending Trigger Log.</t>
  </si>
  <si>
    <t>Part number of OSS_CONF: format is MMMCC-SSSS-SSSS according to ARINC 665-3.</t>
  </si>
  <si>
    <t>Presence of the 120 Ohms adaptation series resistor in the calculator for CAN1:
0 = False (Resistance connected)
1 = True (Resistance disconnected)</t>
  </si>
  <si>
    <t>0xE2</t>
  </si>
  <si>
    <t>0xE0C1</t>
  </si>
  <si>
    <t>XRB inputs or CALRES inputs sensor
0 = Sensor CALRES inputs
1 = Sensor XRB inputs</t>
  </si>
  <si>
    <t>Default value for G1_2_3</t>
  </si>
  <si>
    <t>Default value for G4</t>
  </si>
  <si>
    <t>Notes</t>
  </si>
  <si>
    <t>Info</t>
  </si>
  <si>
    <t>0x21000400</t>
  </si>
  <si>
    <t>0x21000800</t>
  </si>
  <si>
    <t>0x21000C00</t>
  </si>
  <si>
    <t>0x21001000</t>
  </si>
  <si>
    <t>0x21001400</t>
  </si>
  <si>
    <t>0x21001800</t>
  </si>
  <si>
    <t>0x21001C00</t>
  </si>
  <si>
    <t>0x21002000</t>
  </si>
  <si>
    <t>0x21002400</t>
  </si>
  <si>
    <t>0x21002800</t>
  </si>
  <si>
    <t>0x21002C00</t>
  </si>
  <si>
    <t>0x21003000</t>
  </si>
  <si>
    <t>0x21003400</t>
  </si>
  <si>
    <t>0x21003800</t>
  </si>
  <si>
    <t>0x21003C00</t>
  </si>
  <si>
    <t>0x21004000</t>
  </si>
  <si>
    <t>0x21004400</t>
  </si>
  <si>
    <t>0x21004800</t>
  </si>
  <si>
    <t>0x21004C00</t>
  </si>
  <si>
    <t>0x21005000</t>
  </si>
  <si>
    <t>0x21005400</t>
  </si>
  <si>
    <t>0x21005800</t>
  </si>
  <si>
    <t>0x21005C00</t>
  </si>
  <si>
    <t>0x21006000</t>
  </si>
  <si>
    <t>0x4002A400</t>
  </si>
  <si>
    <t>0x21006400</t>
  </si>
  <si>
    <t>25.00</t>
  </si>
  <si>
    <t>0x6D</t>
  </si>
  <si>
    <t>0x96</t>
  </si>
  <si>
    <t>0x94</t>
  </si>
  <si>
    <t>0x6A</t>
  </si>
  <si>
    <t>0x73</t>
  </si>
  <si>
    <t>0xB0</t>
  </si>
  <si>
    <t>0x69</t>
  </si>
  <si>
    <t>0xD1</t>
  </si>
  <si>
    <t>0x8F</t>
  </si>
  <si>
    <t>0x70</t>
  </si>
  <si>
    <t>0x72</t>
  </si>
  <si>
    <t>0x56</t>
  </si>
  <si>
    <t>0x54</t>
  </si>
  <si>
    <t>0xE0</t>
  </si>
  <si>
    <t>0x53</t>
  </si>
  <si>
    <t>0xDE</t>
  </si>
  <si>
    <t>0xDD</t>
  </si>
  <si>
    <t>0xE4</t>
  </si>
  <si>
    <t>0xE5</t>
  </si>
  <si>
    <t>0xE3</t>
  </si>
  <si>
    <t>0xD2</t>
  </si>
  <si>
    <t>0x6C</t>
  </si>
  <si>
    <t>0x83</t>
  </si>
  <si>
    <t>0x71</t>
  </si>
  <si>
    <t>0x74</t>
  </si>
  <si>
    <t>0xDC</t>
  </si>
  <si>
    <t>0xD5</t>
  </si>
  <si>
    <t>0x8B</t>
  </si>
  <si>
    <t>0x68</t>
  </si>
  <si>
    <t>0xE1</t>
  </si>
  <si>
    <t>0x86</t>
  </si>
  <si>
    <t>0x800</t>
  </si>
  <si>
    <t>3.00</t>
  </si>
  <si>
    <t>0xFF</t>
  </si>
  <si>
    <t>{0xFF}</t>
  </si>
  <si>
    <t>SFI21T0181T01G3</t>
  </si>
  <si>
    <t>SFI26T0181T01G4</t>
  </si>
  <si>
    <t>Twear_A</t>
  </si>
  <si>
    <t>Twear_B</t>
  </si>
  <si>
    <t>Spare data with respect of 32-bit alignment</t>
  </si>
  <si>
    <t>TM_FADEX_CALC_3830</t>
  </si>
  <si>
    <t>FADEX-PDS-01260</t>
  </si>
  <si>
    <t>FADEX-PDS-00544</t>
  </si>
  <si>
    <t>Thermal wear counter parameter A</t>
  </si>
  <si>
    <t>Thermal wear counter parameter B</t>
  </si>
  <si>
    <t>A429_1A_BAUD</t>
  </si>
  <si>
    <t>A429_1A_RX_SDI_LABEL[0]</t>
  </si>
  <si>
    <t>A429_1A_RX_SDI_LABEL[1]</t>
  </si>
  <si>
    <t>A429_1A_RX_SDI_LABEL[2]</t>
  </si>
  <si>
    <t>A429_1A_RX_SDI_LABEL[3]</t>
  </si>
  <si>
    <t>A429_1A_RX_SDI_LABEL[4]</t>
  </si>
  <si>
    <t>A429_1A_RX_SDI_LABEL[5]</t>
  </si>
  <si>
    <t>A429_1A_RX_SDI_LABEL[6]</t>
  </si>
  <si>
    <t>A429_1A_RX_SDI_LABEL[7]</t>
  </si>
  <si>
    <t>A429_1A_RX_SDI_LABEL[8]</t>
  </si>
  <si>
    <t>A429_1A_RX_SDI_LABEL[9]</t>
  </si>
  <si>
    <t>A429_1A_RX_SDI_LABEL[10]</t>
  </si>
  <si>
    <t>A429_1A_RX_SDI_LABEL[11]</t>
  </si>
  <si>
    <t>A429_1A_RX_SDI_LABEL[12]</t>
  </si>
  <si>
    <t>A429_1A_RX_SDI_LABEL[13]</t>
  </si>
  <si>
    <t>A429_1A_RX_SDI_LABEL[14]</t>
  </si>
  <si>
    <t>A429_1A_RX_SDI_LABEL[15]</t>
  </si>
  <si>
    <t>A429_1A_RX_SDI_LABEL[16]</t>
  </si>
  <si>
    <t>A429_1A_RX_SDI_LABEL[17]</t>
  </si>
  <si>
    <t>A429_1A_RX_SDI_LABEL[18]</t>
  </si>
  <si>
    <t>A429_1A_RX_SDI_LABEL[19]</t>
  </si>
  <si>
    <t>A429_1A_RX_SDI_LABEL[20]</t>
  </si>
  <si>
    <t>A429_1A_RX_SDI_LABEL[21]</t>
  </si>
  <si>
    <t>A429_1A_RX_SDI_LABEL[22]</t>
  </si>
  <si>
    <t>A429_1A_RX_SDI_LABEL[23]</t>
  </si>
  <si>
    <t>A429_1A_RX_SDI_LABEL[24]</t>
  </si>
  <si>
    <t>A429_1A_RX_SDI_LABEL[25]</t>
  </si>
  <si>
    <t>A429_1A_RX_SDI_LABEL[26]</t>
  </si>
  <si>
    <t>A429_1A_RX_SDI_LABEL[27]</t>
  </si>
  <si>
    <t>A429_1A_RX_SDI_LABEL[28]</t>
  </si>
  <si>
    <t>A429_1A_RX_SDI_LABEL[29]</t>
  </si>
  <si>
    <t>A429_1A_RX_SDI_LABEL[30]</t>
  </si>
  <si>
    <t>A429_1A_RX_SDI_LABEL[31]</t>
  </si>
  <si>
    <t>A429_1A_RX_SDI_LABEL[32]</t>
  </si>
  <si>
    <t>A429_1A_RX_SDI_LABEL[33]</t>
  </si>
  <si>
    <t>A429_1A_RX_SDI_LABEL[34]</t>
  </si>
  <si>
    <t>A429_1A_RX_SDI_LABEL[35]</t>
  </si>
  <si>
    <t>A429_1A_RX_SDI_LABEL[36]</t>
  </si>
  <si>
    <t>A429_1A_RX_SDI_LABEL[37]</t>
  </si>
  <si>
    <t>A429_1A_RX_SDI_LABEL[38]</t>
  </si>
  <si>
    <t>A429_1A_RX_SDI_LABEL[39]</t>
  </si>
  <si>
    <t>A429_1A_RX_SDI_LABEL[40]</t>
  </si>
  <si>
    <t>A429_1A_RX_SDI_LABEL[41]</t>
  </si>
  <si>
    <t>A429_1A_RX_SDI_LABEL[42]</t>
  </si>
  <si>
    <t>A429_1A_RX_SDI_LABEL[43]</t>
  </si>
  <si>
    <t>A429_1A_RX_SDI_LABEL[44]</t>
  </si>
  <si>
    <t>A429_1A_RX_SDI_LABEL[45]</t>
  </si>
  <si>
    <t>A429_1A_RX_SDI_LABEL[46]</t>
  </si>
  <si>
    <t>A429_1A_RX_SDI_LABEL[47]</t>
  </si>
  <si>
    <t>A429_1A_RX_SDI_LABEL[48]</t>
  </si>
  <si>
    <t>A429_1A_RX_SDI_LABEL[49]</t>
  </si>
  <si>
    <t>A429_1A_RX_SDI_LABEL[50]</t>
  </si>
  <si>
    <t>A429_1A_RX_SDI_LABEL[51]</t>
  </si>
  <si>
    <t>A429_1A_RX_SDI_LABEL[52]</t>
  </si>
  <si>
    <t>A429_1A_RX_SDI_LABEL[53]</t>
  </si>
  <si>
    <t>A429_1A_RX_SDI_LABEL[54]</t>
  </si>
  <si>
    <t>A429_1A_RX_SDI_LABEL[55]</t>
  </si>
  <si>
    <t>A429_1A_RX_SDI_LABEL[56]</t>
  </si>
  <si>
    <t>A429_1A_RX_SDI_LABEL[57]</t>
  </si>
  <si>
    <t>A429_1A_RX_SDI_LABEL[58]</t>
  </si>
  <si>
    <t>A429_1A_RX_SDI_LABEL[59]</t>
  </si>
  <si>
    <t>A429_1A_RX_SDI_LABEL[60]</t>
  </si>
  <si>
    <t>A429_1A_RX_SDI_LABEL[61]</t>
  </si>
  <si>
    <t>A429_1A_RX_SDI_LABEL[62]</t>
  </si>
  <si>
    <t>A429_1A_RX_SDI_LABEL[63]</t>
  </si>
  <si>
    <t>A429_1A_RX_SDI_LABEL[64]</t>
  </si>
  <si>
    <t>A429_1A_RX_SDI_LABEL[65]</t>
  </si>
  <si>
    <t>A429_1A_RX_SDI_LABEL[66]</t>
  </si>
  <si>
    <t>A429_1A_RX_SDI_LABEL[67]</t>
  </si>
  <si>
    <t>A429_1A_RX_SDI_LABEL[68]</t>
  </si>
  <si>
    <t>A429_1A_RX_SDI_LABEL[69]</t>
  </si>
  <si>
    <t>A429_1A_RX_SDI_LABEL[70]</t>
  </si>
  <si>
    <t>A429_1A_RX_SDI_LABEL[71]</t>
  </si>
  <si>
    <t>A429_1A_RX_SDI_LABEL[72]</t>
  </si>
  <si>
    <t>A429_1A_RX_SDI_LABEL[73]</t>
  </si>
  <si>
    <t>A429_1A_RX_SDI_LABEL[74]</t>
  </si>
  <si>
    <t>A429_1A_RX_SDI_LABEL[75]</t>
  </si>
  <si>
    <t>A429_1A_RX_SDI_LABEL[76]</t>
  </si>
  <si>
    <t>A429_1A_RX_SDI_LABEL[77]</t>
  </si>
  <si>
    <t>A429_1A_RX_SDI_LABEL[78]</t>
  </si>
  <si>
    <t>A429_1A_RX_SDI_LABEL[79]</t>
  </si>
  <si>
    <t>A429_1A_RX_SDI_LABEL[80]</t>
  </si>
  <si>
    <t>A429_1A_RX_SDI_LABEL[81]</t>
  </si>
  <si>
    <t>A429_1A_RX_SDI_LABEL[82]</t>
  </si>
  <si>
    <t>A429_1A_RX_SDI_LABEL[83]</t>
  </si>
  <si>
    <t>A429_1A_RX_SDI_LABEL[84]</t>
  </si>
  <si>
    <t>A429_1A_RX_SDI_LABEL[85]</t>
  </si>
  <si>
    <t>A429_1A_RX_SDI_LABEL[86]</t>
  </si>
  <si>
    <t>A429_1A_RX_SDI_LABEL[87]</t>
  </si>
  <si>
    <t>A429_1A_RX_SDI_LABEL[88]</t>
  </si>
  <si>
    <t>A429_1A_RX_SDI_LABEL[89]</t>
  </si>
  <si>
    <t>A429_1A_RX_SDI_LABEL[90]</t>
  </si>
  <si>
    <t>A429_1A_RX_SDI_LABEL[91]</t>
  </si>
  <si>
    <t>A429_1A_RX_SDI_LABEL[92]</t>
  </si>
  <si>
    <t>A429_1A_RX_SDI_LABEL[93]</t>
  </si>
  <si>
    <t>A429_1A_RX_SDI_LABEL[94]</t>
  </si>
  <si>
    <t>A429_1A_RX_SDI_LABEL[95]</t>
  </si>
  <si>
    <t>A429_1A_RX_SDI_LABEL[96]</t>
  </si>
  <si>
    <t>A429_1A_RX_SDI_LABEL[97]</t>
  </si>
  <si>
    <t>A429_1A_RX_SDI_LABEL[98]</t>
  </si>
  <si>
    <t>A429_1A_RX_SDI_LABEL[99]</t>
  </si>
  <si>
    <t>A429_1A_RX_SDI_LABEL[100]</t>
  </si>
  <si>
    <t>A429_1A_RX_SDI_LABEL[101]</t>
  </si>
  <si>
    <t>A429_1A_RX_SDI_LABEL[102]</t>
  </si>
  <si>
    <t>A429_1A_RX_SDI_LABEL[103]</t>
  </si>
  <si>
    <t>A429_1A_RX_SDI_LABEL[104]</t>
  </si>
  <si>
    <t>A429_1A_RX_SDI_LABEL[105]</t>
  </si>
  <si>
    <t>A429_1A_RX_SDI_LABEL[106]</t>
  </si>
  <si>
    <t>A429_1A_RX_SDI_LABEL[107]</t>
  </si>
  <si>
    <t>A429_1A_RX_SDI_LABEL[108]</t>
  </si>
  <si>
    <t>A429_1A_RX_SDI_LABEL[109]</t>
  </si>
  <si>
    <t>A429_1A_RX_SDI_LABEL[110]</t>
  </si>
  <si>
    <t>A429_1A_RX_SDI_LABEL[111]</t>
  </si>
  <si>
    <t>A429_1A_RX_SDI_LABEL[112]</t>
  </si>
  <si>
    <t>A429_1A_RX_SDI_LABEL[113]</t>
  </si>
  <si>
    <t>A429_1A_RX_SDI_LABEL[114]</t>
  </si>
  <si>
    <t>A429_1A_RX_SDI_LABEL[115]</t>
  </si>
  <si>
    <t>A429_1A_RX_SDI_LABEL[116]</t>
  </si>
  <si>
    <t>A429_1A_RX_SDI_LABEL[117]</t>
  </si>
  <si>
    <t>A429_1A_RX_SDI_LABEL[118]</t>
  </si>
  <si>
    <t>A429_1A_RX_SDI_LABEL[119]</t>
  </si>
  <si>
    <t>A429_1A_RX_SDI_LABEL[120]</t>
  </si>
  <si>
    <t>A429_1A_RX_SDI_LABEL[121]</t>
  </si>
  <si>
    <t>A429_1A_RX_SDI_LABEL[122]</t>
  </si>
  <si>
    <t>A429_1A_RX_SDI_LABEL[123]</t>
  </si>
  <si>
    <t>A429_1A_RX_SDI_LABEL[124]</t>
  </si>
  <si>
    <t>A429_1A_RX_SDI_LABEL[125]</t>
  </si>
  <si>
    <t>A429_1A_RX_SDI_LABEL[126]</t>
  </si>
  <si>
    <t>A429_1A_RX_SDI_LABEL[127]</t>
  </si>
  <si>
    <t>A429_2AB_BAUD</t>
  </si>
  <si>
    <t>A429_2AB_RX_SDI_LABEL[0]</t>
  </si>
  <si>
    <t>A429_2AB_RX_SDI_LABEL[1]</t>
  </si>
  <si>
    <t>A429_2AB_RX_SDI_LABEL[2]</t>
  </si>
  <si>
    <t>A429_2AB_RX_SDI_LABEL[3]</t>
  </si>
  <si>
    <t>A429_2AB_RX_SDI_LABEL[4]</t>
  </si>
  <si>
    <t>A429_2AB_RX_SDI_LABEL[5]</t>
  </si>
  <si>
    <t>A429_2AB_RX_SDI_LABEL[6]</t>
  </si>
  <si>
    <t>A429_2AB_RX_SDI_LABEL[7]</t>
  </si>
  <si>
    <t>A429_2AB_RX_SDI_LABEL[8]</t>
  </si>
  <si>
    <t>A429_2AB_RX_SDI_LABEL[9]</t>
  </si>
  <si>
    <t>A429_2AB_RX_SDI_LABEL[10]</t>
  </si>
  <si>
    <t>A429_2AB_RX_SDI_LABEL[11]</t>
  </si>
  <si>
    <t>A429_2AB_RX_SDI_LABEL[12]</t>
  </si>
  <si>
    <t>A429_2AB_RX_SDI_LABEL[13]</t>
  </si>
  <si>
    <t>A429_2AB_RX_SDI_LABEL[14]</t>
  </si>
  <si>
    <t>A429_2AB_RX_SDI_LABEL[15]</t>
  </si>
  <si>
    <t>A429_2AB_RX_SDI_LABEL[16]</t>
  </si>
  <si>
    <t>A429_2AB_RX_SDI_LABEL[17]</t>
  </si>
  <si>
    <t>A429_2AB_RX_SDI_LABEL[18]</t>
  </si>
  <si>
    <t>A429_2AB_RX_SDI_LABEL[19]</t>
  </si>
  <si>
    <t>A429_2AB_RX_SDI_LABEL[20]</t>
  </si>
  <si>
    <t>A429_2AB_RX_SDI_LABEL[21]</t>
  </si>
  <si>
    <t>A429_2AB_RX_SDI_LABEL[22]</t>
  </si>
  <si>
    <t>A429_2AB_RX_SDI_LABEL[23]</t>
  </si>
  <si>
    <t>A429_2AB_RX_SDI_LABEL[24]</t>
  </si>
  <si>
    <t>A429_2AB_RX_SDI_LABEL[25]</t>
  </si>
  <si>
    <t>A429_2AB_RX_SDI_LABEL[26]</t>
  </si>
  <si>
    <t>A429_2AB_RX_SDI_LABEL[27]</t>
  </si>
  <si>
    <t>A429_2AB_RX_SDI_LABEL[28]</t>
  </si>
  <si>
    <t>A429_2AB_RX_SDI_LABEL[29]</t>
  </si>
  <si>
    <t>A429_2AB_RX_SDI_LABEL[30]</t>
  </si>
  <si>
    <t>A429_2AB_RX_SDI_LABEL[31]</t>
  </si>
  <si>
    <t>A429_2AB_RX_SDI_LABEL[32]</t>
  </si>
  <si>
    <t>A429_2AB_RX_SDI_LABEL[33]</t>
  </si>
  <si>
    <t>A429_2AB_RX_SDI_LABEL[34]</t>
  </si>
  <si>
    <t>A429_2AB_RX_SDI_LABEL[35]</t>
  </si>
  <si>
    <t>A429_2AB_RX_SDI_LABEL[36]</t>
  </si>
  <si>
    <t>A429_2AB_RX_SDI_LABEL[37]</t>
  </si>
  <si>
    <t>A429_2AB_RX_SDI_LABEL[38]</t>
  </si>
  <si>
    <t>A429_2AB_RX_SDI_LABEL[39]</t>
  </si>
  <si>
    <t>A429_2AB_RX_SDI_LABEL[40]</t>
  </si>
  <si>
    <t>A429_2AB_RX_SDI_LABEL[41]</t>
  </si>
  <si>
    <t>A429_2AB_RX_SDI_LABEL[42]</t>
  </si>
  <si>
    <t>A429_2AB_RX_SDI_LABEL[43]</t>
  </si>
  <si>
    <t>A429_2AB_RX_SDI_LABEL[44]</t>
  </si>
  <si>
    <t>A429_2AB_RX_SDI_LABEL[45]</t>
  </si>
  <si>
    <t>A429_2AB_RX_SDI_LABEL[46]</t>
  </si>
  <si>
    <t>A429_2AB_RX_SDI_LABEL[47]</t>
  </si>
  <si>
    <t>A429_2AB_RX_SDI_LABEL[48]</t>
  </si>
  <si>
    <t>A429_2AB_RX_SDI_LABEL[49]</t>
  </si>
  <si>
    <t>A429_2AB_RX_SDI_LABEL[50]</t>
  </si>
  <si>
    <t>A429_2AB_RX_SDI_LABEL[51]</t>
  </si>
  <si>
    <t>A429_2AB_RX_SDI_LABEL[52]</t>
  </si>
  <si>
    <t>A429_2AB_RX_SDI_LABEL[53]</t>
  </si>
  <si>
    <t>A429_2AB_RX_SDI_LABEL[54]</t>
  </si>
  <si>
    <t>A429_2AB_RX_SDI_LABEL[55]</t>
  </si>
  <si>
    <t>A429_2AB_RX_SDI_LABEL[56]</t>
  </si>
  <si>
    <t>A429_2AB_RX_SDI_LABEL[57]</t>
  </si>
  <si>
    <t>A429_2AB_RX_SDI_LABEL[58]</t>
  </si>
  <si>
    <t>A429_2AB_RX_SDI_LABEL[59]</t>
  </si>
  <si>
    <t>A429_2AB_RX_SDI_LABEL[60]</t>
  </si>
  <si>
    <t>A429_2AB_RX_SDI_LABEL[61]</t>
  </si>
  <si>
    <t>A429_2AB_RX_SDI_LABEL[62]</t>
  </si>
  <si>
    <t>A429_2AB_RX_SDI_LABEL[63]</t>
  </si>
  <si>
    <t>A429_2AB_RX_SDI_LABEL[64]</t>
  </si>
  <si>
    <t>A429_2AB_RX_SDI_LABEL[65]</t>
  </si>
  <si>
    <t>A429_2AB_RX_SDI_LABEL[66]</t>
  </si>
  <si>
    <t>A429_2AB_RX_SDI_LABEL[67]</t>
  </si>
  <si>
    <t>A429_2AB_RX_SDI_LABEL[68]</t>
  </si>
  <si>
    <t>A429_2AB_RX_SDI_LABEL[69]</t>
  </si>
  <si>
    <t>A429_2AB_RX_SDI_LABEL[70]</t>
  </si>
  <si>
    <t>A429_2AB_RX_SDI_LABEL[71]</t>
  </si>
  <si>
    <t>A429_2AB_RX_SDI_LABEL[72]</t>
  </si>
  <si>
    <t>A429_2AB_RX_SDI_LABEL[73]</t>
  </si>
  <si>
    <t>A429_2AB_RX_SDI_LABEL[74]</t>
  </si>
  <si>
    <t>A429_2AB_RX_SDI_LABEL[75]</t>
  </si>
  <si>
    <t>A429_2AB_RX_SDI_LABEL[76]</t>
  </si>
  <si>
    <t>A429_2AB_RX_SDI_LABEL[77]</t>
  </si>
  <si>
    <t>A429_2AB_RX_SDI_LABEL[78]</t>
  </si>
  <si>
    <t>A429_2AB_RX_SDI_LABEL[79]</t>
  </si>
  <si>
    <t>A429_2AB_RX_SDI_LABEL[80]</t>
  </si>
  <si>
    <t>A429_2AB_RX_SDI_LABEL[81]</t>
  </si>
  <si>
    <t>A429_2AB_RX_SDI_LABEL[82]</t>
  </si>
  <si>
    <t>A429_2AB_RX_SDI_LABEL[83]</t>
  </si>
  <si>
    <t>A429_2AB_RX_SDI_LABEL[84]</t>
  </si>
  <si>
    <t>A429_2AB_RX_SDI_LABEL[85]</t>
  </si>
  <si>
    <t>A429_2AB_RX_SDI_LABEL[86]</t>
  </si>
  <si>
    <t>A429_2AB_RX_SDI_LABEL[87]</t>
  </si>
  <si>
    <t>A429_2AB_RX_SDI_LABEL[88]</t>
  </si>
  <si>
    <t>A429_2AB_RX_SDI_LABEL[89]</t>
  </si>
  <si>
    <t>A429_2AB_RX_SDI_LABEL[90]</t>
  </si>
  <si>
    <t>A429_2AB_RX_SDI_LABEL[91]</t>
  </si>
  <si>
    <t>A429_2AB_RX_SDI_LABEL[92]</t>
  </si>
  <si>
    <t>A429_2AB_RX_SDI_LABEL[93]</t>
  </si>
  <si>
    <t>A429_2AB_RX_SDI_LABEL[94]</t>
  </si>
  <si>
    <t>A429_2AB_RX_SDI_LABEL[95]</t>
  </si>
  <si>
    <t>A429_2AB_RX_SDI_LABEL[96]</t>
  </si>
  <si>
    <t>A429_2AB_RX_SDI_LABEL[97]</t>
  </si>
  <si>
    <t>A429_2AB_RX_SDI_LABEL[98]</t>
  </si>
  <si>
    <t>A429_2AB_RX_SDI_LABEL[99]</t>
  </si>
  <si>
    <t>A429_2AB_RX_SDI_LABEL[100]</t>
  </si>
  <si>
    <t>A429_2AB_RX_SDI_LABEL[101]</t>
  </si>
  <si>
    <t>A429_2AB_RX_SDI_LABEL[102]</t>
  </si>
  <si>
    <t>A429_2AB_RX_SDI_LABEL[103]</t>
  </si>
  <si>
    <t>A429_2AB_RX_SDI_LABEL[104]</t>
  </si>
  <si>
    <t>A429_2AB_RX_SDI_LABEL[105]</t>
  </si>
  <si>
    <t>A429_2AB_RX_SDI_LABEL[106]</t>
  </si>
  <si>
    <t>A429_2AB_RX_SDI_LABEL[107]</t>
  </si>
  <si>
    <t>A429_2AB_RX_SDI_LABEL[108]</t>
  </si>
  <si>
    <t>A429_2AB_RX_SDI_LABEL[109]</t>
  </si>
  <si>
    <t>A429_2AB_RX_SDI_LABEL[110]</t>
  </si>
  <si>
    <t>A429_2AB_RX_SDI_LABEL[111]</t>
  </si>
  <si>
    <t>A429_2AB_RX_SDI_LABEL[112]</t>
  </si>
  <si>
    <t>A429_2AB_RX_SDI_LABEL[113]</t>
  </si>
  <si>
    <t>A429_2AB_RX_SDI_LABEL[114]</t>
  </si>
  <si>
    <t>A429_2AB_RX_SDI_LABEL[115]</t>
  </si>
  <si>
    <t>A429_2AB_RX_SDI_LABEL[116]</t>
  </si>
  <si>
    <t>A429_2AB_RX_SDI_LABEL[117]</t>
  </si>
  <si>
    <t>A429_2AB_RX_SDI_LABEL[118]</t>
  </si>
  <si>
    <t>A429_2AB_RX_SDI_LABEL[119]</t>
  </si>
  <si>
    <t>A429_2AB_RX_SDI_LABEL[120]</t>
  </si>
  <si>
    <t>A429_2AB_RX_SDI_LABEL[121]</t>
  </si>
  <si>
    <t>A429_2AB_RX_SDI_LABEL[122]</t>
  </si>
  <si>
    <t>A429_2AB_RX_SDI_LABEL[123]</t>
  </si>
  <si>
    <t>A429_2AB_RX_SDI_LABEL[124]</t>
  </si>
  <si>
    <t>A429_2AB_RX_SDI_LABEL[125]</t>
  </si>
  <si>
    <t>A429_2AB_RX_SDI_LABEL[126]</t>
  </si>
  <si>
    <t>A429_2AB_RX_SDI_LABEL[127]</t>
  </si>
  <si>
    <t>A429_2AB_CONFIG</t>
  </si>
  <si>
    <t>A429_IBIT_TX_ENABLE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</si>
</sst>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gray0625"/>
    </fill>
    <fill>
      <patternFill patternType="gray0625">
        <bgColor theme="0" tint="-0.14999847407452621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Fill="1"/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0" fillId="0" borderId="2" xfId="0" applyFill="1" applyBorder="1" applyAlignment="1">
      <alignment vertical="center" wrapText="1"/>
    </xf>
    <xf numFmtId="0" fontId="0" fillId="0" borderId="2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left" vertical="center" wrapText="1"/>
    </xf>
    <xf numFmtId="0" fontId="1" fillId="0" borderId="2" xfId="0" applyNumberFormat="1" applyFont="1" applyFill="1" applyBorder="1" applyAlignment="1">
      <alignment horizontal="left" vertical="center" wrapText="1"/>
    </xf>
    <xf numFmtId="0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left" vertical="center"/>
    </xf>
    <xf numFmtId="0" fontId="0" fillId="0" borderId="2" xfId="0" quotePrefix="1" applyFill="1" applyBorder="1" applyAlignment="1">
      <alignment horizontal="center" vertical="center"/>
    </xf>
    <xf numFmtId="0" fontId="0" fillId="0" borderId="2" xfId="0" applyFill="1" applyBorder="1" applyAlignment="1">
      <alignment horizontal="left" vertical="center" wrapText="1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vertical="center" wrapText="1"/>
    </xf>
    <xf numFmtId="0" fontId="1" fillId="0" borderId="2" xfId="0" applyFont="1" applyFill="1" applyBorder="1" applyAlignment="1">
      <alignment horizontal="left" vertical="center" wrapText="1"/>
    </xf>
    <xf numFmtId="164" fontId="0" fillId="0" borderId="2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quotePrefix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left" vertical="center"/>
    </xf>
    <xf numFmtId="0" fontId="0" fillId="0" borderId="2" xfId="0" applyNumberFormat="1" applyFill="1" applyBorder="1" applyAlignment="1">
      <alignment vertical="center"/>
    </xf>
    <xf numFmtId="0" fontId="0" fillId="0" borderId="2" xfId="0" quotePrefix="1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20" fontId="0" fillId="5" borderId="3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4" fillId="7" borderId="2" xfId="0" quotePrefix="1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2" fontId="5" fillId="7" borderId="2" xfId="0" quotePrefix="1" applyNumberFormat="1" applyFont="1" applyFill="1" applyBorder="1" applyAlignment="1">
      <alignment horizontal="center" vertical="center"/>
    </xf>
    <xf numFmtId="2" fontId="4" fillId="7" borderId="2" xfId="0" quotePrefix="1" applyNumberFormat="1" applyFont="1" applyFill="1" applyBorder="1" applyAlignment="1">
      <alignment horizontal="center" vertical="center"/>
    </xf>
    <xf numFmtId="2" fontId="4" fillId="7" borderId="2" xfId="0" applyNumberFormat="1" applyFont="1" applyFill="1" applyBorder="1" applyAlignment="1">
      <alignment horizontal="center" vertical="center"/>
    </xf>
    <xf numFmtId="2" fontId="6" fillId="7" borderId="2" xfId="0" applyNumberFormat="1" applyFont="1" applyFill="1" applyBorder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2" fontId="5" fillId="8" borderId="2" xfId="0" quotePrefix="1" applyNumberFormat="1" applyFont="1" applyFill="1" applyBorder="1" applyAlignment="1">
      <alignment horizontal="center" vertical="center"/>
    </xf>
    <xf numFmtId="2" fontId="4" fillId="8" borderId="2" xfId="0" quotePrefix="1" applyNumberFormat="1" applyFont="1" applyFill="1" applyBorder="1" applyAlignment="1">
      <alignment horizontal="center" vertical="center"/>
    </xf>
    <xf numFmtId="2" fontId="4" fillId="8" borderId="2" xfId="0" applyNumberFormat="1" applyFont="1" applyFill="1" applyBorder="1" applyAlignment="1">
      <alignment horizontal="center" vertical="center"/>
    </xf>
    <xf numFmtId="2" fontId="6" fillId="8" borderId="2" xfId="0" applyNumberFormat="1" applyFont="1" applyFill="1" applyBorder="1" applyAlignment="1">
      <alignment horizontal="center" vertical="center"/>
    </xf>
    <xf numFmtId="0" fontId="4" fillId="2" borderId="2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wrapText="1"/>
    </xf>
    <xf numFmtId="0" fontId="0" fillId="0" borderId="2" xfId="0" applyFill="1" applyBorder="1" applyAlignment="1">
      <alignment horizontal="center" wrapText="1"/>
    </xf>
    <xf numFmtId="0" fontId="4" fillId="7" borderId="2" xfId="0" applyFont="1" applyFill="1" applyBorder="1" applyAlignment="1">
      <alignment horizontal="center" wrapText="1"/>
    </xf>
    <xf numFmtId="0" fontId="4" fillId="8" borderId="2" xfId="0" applyFont="1" applyFill="1" applyBorder="1" applyAlignment="1">
      <alignment horizontal="center" wrapText="1"/>
    </xf>
    <xf numFmtId="0" fontId="0" fillId="5" borderId="3" xfId="0" applyFill="1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0" fillId="6" borderId="4" xfId="0" applyFill="1" applyBorder="1" applyAlignment="1">
      <alignment horizontal="center" wrapText="1"/>
    </xf>
    <xf numFmtId="0" fontId="1" fillId="0" borderId="2" xfId="0" applyFont="1" applyFill="1" applyBorder="1" applyAlignment="1">
      <alignment vertical="center" wrapText="1"/>
    </xf>
    <xf numFmtId="11" fontId="0" fillId="0" borderId="2" xfId="0" applyNumberFormat="1" applyFill="1" applyBorder="1" applyAlignment="1">
      <alignment horizontal="center" vertical="center"/>
    </xf>
    <xf numFmtId="11" fontId="4" fillId="7" borderId="2" xfId="0" quotePrefix="1" applyNumberFormat="1" applyFont="1" applyFill="1" applyBorder="1" applyAlignment="1">
      <alignment horizontal="center" vertical="center"/>
    </xf>
    <xf numFmtId="11" fontId="4" fillId="8" borderId="2" xfId="0" quotePrefix="1" applyNumberFormat="1" applyFont="1" applyFill="1" applyBorder="1" applyAlignment="1">
      <alignment horizontal="center" vertical="center"/>
    </xf>
  </cellXfs>
  <cellStyles count="1">
    <cellStyle name="Normal" xfId="0" builtinId="0"/>
  </cellStyles>
  <dxfs count="17">
    <dxf>
      <fill>
        <patternFill patternType="gray0625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font>
        <b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0</xdr:row>
          <xdr:rowOff>57150</xdr:rowOff>
        </xdr:from>
        <xdr:to>
          <xdr:col>4</xdr:col>
          <xdr:colOff>2190750</xdr:colOff>
          <xdr:row>0</xdr:row>
          <xdr:rowOff>342900</xdr:rowOff>
        </xdr:to>
        <xdr:sp macro="" textlink="">
          <xdr:nvSpPr>
            <xdr:cNvPr id="1036" name="Button 12" descr="Generate oss_conf_public.h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oss_conf_public.h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B1:O415" totalsRowShown="0" headerRowDxfId="16" dataDxfId="14" headerRowBorderDxfId="15">
  <autoFilter ref="B1:O415"/>
  <tableColumns count="14">
    <tableColumn id="1" name="Offset (decimal)" dataDxfId="13">
      <calculatedColumnFormula>B1+D1</calculatedColumnFormula>
    </tableColumn>
    <tableColumn id="2" name="Offset (hexadecimal)" dataDxfId="12">
      <calculatedColumnFormula>CONCATENATE("0x",DEC2HEX(B2,8))</calculatedColumnFormula>
    </tableColumn>
    <tableColumn id="6" name="Size (Oct)" dataDxfId="11"/>
    <tableColumn id="9" name="Name" dataDxfId="10"/>
    <tableColumn id="10" name="Type" dataDxfId="9"/>
    <tableColumn id="11" name="Unit" dataDxfId="8"/>
    <tableColumn id="12" name="Min" dataDxfId="7"/>
    <tableColumn id="13" name="Max" dataDxfId="6"/>
    <tableColumn id="14" name="Range" dataDxfId="5"/>
    <tableColumn id="7" name="Default value for G1_2_3" dataDxfId="4"/>
    <tableColumn id="5" name="Default value for G4" dataDxfId="3"/>
    <tableColumn id="16" name="Description" dataDxfId="2"/>
    <tableColumn id="20" name="PDS Coverage" dataDxfId="1"/>
    <tableColumn id="4" name="CC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Q415"/>
  <sheetViews>
    <sheetView showGridLines="0" tabSelected="1" topLeftCell="B1" zoomScale="80" zoomScaleNormal="80" workbookViewId="0">
      <pane ySplit="1" topLeftCell="A355" activePane="bottomLeft" state="frozen"/>
      <selection pane="bottomLeft" activeCell="F361" sqref="F361"/>
    </sheetView>
  </sheetViews>
  <sheetFormatPr baseColWidth="10" defaultRowHeight="15" x14ac:dyDescent="0.25"/>
  <cols>
    <col min="1" max="1" width="21.7109375" bestFit="1" customWidth="1"/>
    <col min="2" max="2" width="15" style="1" customWidth="1"/>
    <col min="3" max="3" width="17.85546875" customWidth="1"/>
    <col min="4" max="4" width="17.140625" bestFit="1" customWidth="1"/>
    <col min="5" max="5" width="37.42578125" bestFit="1" customWidth="1"/>
    <col min="6" max="6" width="17.140625" customWidth="1"/>
    <col min="7" max="7" width="10.7109375" customWidth="1"/>
    <col min="8" max="9" width="14.7109375" customWidth="1"/>
    <col min="10" max="10" width="40.85546875" customWidth="1"/>
    <col min="11" max="12" width="17.140625" customWidth="1"/>
    <col min="13" max="13" width="78.42578125" style="2" customWidth="1"/>
    <col min="14" max="14" width="28.7109375" customWidth="1"/>
    <col min="15" max="15" width="24.85546875" customWidth="1"/>
    <col min="16" max="16" width="30" bestFit="1" customWidth="1"/>
    <col min="17" max="17" width="17.85546875" bestFit="1" customWidth="1"/>
  </cols>
  <sheetData>
    <row r="1" spans="1:17" s="2" customFormat="1" ht="62.25" customHeight="1" x14ac:dyDescent="0.25">
      <c r="A1" s="53" t="s">
        <v>236</v>
      </c>
      <c r="B1" s="54" t="s">
        <v>222</v>
      </c>
      <c r="C1" s="54" t="s">
        <v>223</v>
      </c>
      <c r="D1" s="54" t="s">
        <v>34</v>
      </c>
      <c r="E1" s="54" t="s">
        <v>1</v>
      </c>
      <c r="F1" s="54" t="s">
        <v>2</v>
      </c>
      <c r="G1" s="54" t="s">
        <v>36</v>
      </c>
      <c r="H1" s="54" t="s">
        <v>3</v>
      </c>
      <c r="I1" s="54" t="s">
        <v>4</v>
      </c>
      <c r="J1" s="54" t="s">
        <v>5</v>
      </c>
      <c r="K1" s="55" t="s">
        <v>414</v>
      </c>
      <c r="L1" s="56" t="s">
        <v>415</v>
      </c>
      <c r="M1" s="54" t="s">
        <v>156</v>
      </c>
      <c r="N1" s="57" t="s">
        <v>343</v>
      </c>
      <c r="O1" s="58" t="s">
        <v>342</v>
      </c>
      <c r="P1" s="59" t="s">
        <v>416</v>
      </c>
      <c r="Q1" s="59" t="s">
        <v>417</v>
      </c>
    </row>
    <row r="2" spans="1:17" ht="30" x14ac:dyDescent="0.25">
      <c r="A2" s="4" t="s">
        <v>251</v>
      </c>
      <c r="B2" s="15">
        <v>0</v>
      </c>
      <c r="C2" s="15" t="str">
        <f>CONCATENATE("0x",DEC2HEX(B2,8))</f>
        <v>0x00000000</v>
      </c>
      <c r="D2" s="15">
        <v>2</v>
      </c>
      <c r="E2" s="16" t="s">
        <v>255</v>
      </c>
      <c r="F2" s="15" t="s">
        <v>283</v>
      </c>
      <c r="G2" s="17" t="s">
        <v>0</v>
      </c>
      <c r="H2" s="8" t="s">
        <v>232</v>
      </c>
      <c r="I2" s="8" t="s">
        <v>233</v>
      </c>
      <c r="J2" s="15" t="str">
        <f>CONCATENATE("["&amp;Tableau1[[#This Row],[Min]]&amp;"; "&amp;Tableau1[[#This Row],[Max]]&amp;"]")</f>
        <v>[0xCC01; 0xCCFF]</v>
      </c>
      <c r="K2" s="40" t="s">
        <v>232</v>
      </c>
      <c r="L2" s="46" t="s">
        <v>232</v>
      </c>
      <c r="M2" s="18" t="s">
        <v>274</v>
      </c>
      <c r="N2" s="31"/>
      <c r="O2" s="30"/>
      <c r="P2" s="39"/>
      <c r="Q2" s="39"/>
    </row>
    <row r="3" spans="1:17" x14ac:dyDescent="0.25">
      <c r="A3" s="23" t="s">
        <v>251</v>
      </c>
      <c r="B3" s="14">
        <f t="shared" ref="B3:B4" si="0">B2+D2</f>
        <v>2</v>
      </c>
      <c r="C3" s="14" t="str">
        <f t="shared" ref="C3:C4" si="1">CONCATENATE("0x",DEC2HEX(B3,8))</f>
        <v>0x00000002</v>
      </c>
      <c r="D3" s="14">
        <v>2</v>
      </c>
      <c r="E3" s="19" t="s">
        <v>35</v>
      </c>
      <c r="F3" s="14" t="s">
        <v>281</v>
      </c>
      <c r="G3" s="14" t="s">
        <v>0</v>
      </c>
      <c r="H3" s="13" t="s">
        <v>296</v>
      </c>
      <c r="I3" s="13" t="s">
        <v>296</v>
      </c>
      <c r="J3" s="13" t="s">
        <v>297</v>
      </c>
      <c r="K3" s="52">
        <v>0</v>
      </c>
      <c r="L3" s="52">
        <v>0</v>
      </c>
      <c r="M3" s="20" t="s">
        <v>250</v>
      </c>
      <c r="N3" s="33"/>
      <c r="O3" s="32"/>
      <c r="P3" s="39"/>
      <c r="Q3" s="39"/>
    </row>
    <row r="4" spans="1:17" x14ac:dyDescent="0.25">
      <c r="A4" s="4" t="s">
        <v>251</v>
      </c>
      <c r="B4" s="15">
        <f t="shared" si="0"/>
        <v>4</v>
      </c>
      <c r="C4" s="15" t="str">
        <f t="shared" si="1"/>
        <v>0x00000004</v>
      </c>
      <c r="D4" s="15">
        <v>15</v>
      </c>
      <c r="E4" s="16" t="s">
        <v>231</v>
      </c>
      <c r="F4" s="15" t="s">
        <v>406</v>
      </c>
      <c r="G4" s="17" t="s">
        <v>0</v>
      </c>
      <c r="H4" s="8" t="s">
        <v>183</v>
      </c>
      <c r="I4" s="8" t="s">
        <v>183</v>
      </c>
      <c r="J4" s="15" t="s">
        <v>183</v>
      </c>
      <c r="K4" s="40" t="s">
        <v>480</v>
      </c>
      <c r="L4" s="46" t="s">
        <v>481</v>
      </c>
      <c r="M4" s="11" t="s">
        <v>409</v>
      </c>
      <c r="N4" s="31"/>
      <c r="O4" s="30"/>
      <c r="P4" s="39"/>
      <c r="Q4" s="39"/>
    </row>
    <row r="5" spans="1:17" ht="30" x14ac:dyDescent="0.25">
      <c r="A5" s="23" t="s">
        <v>251</v>
      </c>
      <c r="B5" s="14">
        <f>B4+D4</f>
        <v>19</v>
      </c>
      <c r="C5" s="14" t="str">
        <f>CONCATENATE("0x",DEC2HEX(B5,8))</f>
        <v>0x00000013</v>
      </c>
      <c r="D5" s="14">
        <v>13</v>
      </c>
      <c r="E5" s="19" t="s">
        <v>35</v>
      </c>
      <c r="F5" s="14" t="s">
        <v>281</v>
      </c>
      <c r="G5" s="14" t="s">
        <v>0</v>
      </c>
      <c r="H5" s="13" t="s">
        <v>296</v>
      </c>
      <c r="I5" s="13" t="s">
        <v>296</v>
      </c>
      <c r="J5" s="13" t="s">
        <v>297</v>
      </c>
      <c r="K5" s="52">
        <v>0</v>
      </c>
      <c r="L5" s="52">
        <v>0</v>
      </c>
      <c r="M5" s="20" t="s">
        <v>272</v>
      </c>
      <c r="N5" s="33"/>
      <c r="O5" s="32"/>
      <c r="P5" s="39"/>
      <c r="Q5" s="39"/>
    </row>
    <row r="6" spans="1:17" ht="45" x14ac:dyDescent="0.25">
      <c r="A6" s="4" t="s">
        <v>234</v>
      </c>
      <c r="B6" s="15">
        <f>B5+D5</f>
        <v>32</v>
      </c>
      <c r="C6" s="15" t="str">
        <f>CONCATENATE("0x",DEC2HEX(B6,8))</f>
        <v>0x00000020</v>
      </c>
      <c r="D6" s="15">
        <v>4</v>
      </c>
      <c r="E6" s="16" t="s">
        <v>67</v>
      </c>
      <c r="F6" s="15" t="s">
        <v>285</v>
      </c>
      <c r="G6" s="17" t="s">
        <v>0</v>
      </c>
      <c r="H6" s="8" t="s">
        <v>103</v>
      </c>
      <c r="I6" s="8" t="s">
        <v>155</v>
      </c>
      <c r="J6" s="15" t="str">
        <f>CONCATENATE("{"&amp;Tableau1[[#This Row],[Min]]&amp;"; "&amp;Tableau1[[#This Row],[Max]]&amp;"}")</f>
        <v>{0x444FADEC; 0xFADEC111}</v>
      </c>
      <c r="K6" s="40" t="s">
        <v>103</v>
      </c>
      <c r="L6" s="46" t="s">
        <v>155</v>
      </c>
      <c r="M6" s="18" t="s">
        <v>104</v>
      </c>
      <c r="N6" s="31"/>
      <c r="O6" s="30"/>
      <c r="P6" s="39"/>
      <c r="Q6" s="39"/>
    </row>
    <row r="7" spans="1:17" ht="45" x14ac:dyDescent="0.25">
      <c r="A7" s="4" t="s">
        <v>234</v>
      </c>
      <c r="B7" s="15">
        <f>B6+D6</f>
        <v>36</v>
      </c>
      <c r="C7" s="15" t="str">
        <f t="shared" ref="C7:C381" si="2">CONCATENATE("0x",DEC2HEX(B7,8))</f>
        <v>0x00000024</v>
      </c>
      <c r="D7" s="15">
        <v>4</v>
      </c>
      <c r="E7" s="16" t="s">
        <v>68</v>
      </c>
      <c r="F7" s="15" t="s">
        <v>285</v>
      </c>
      <c r="G7" s="17" t="s">
        <v>0</v>
      </c>
      <c r="H7" s="15">
        <v>0</v>
      </c>
      <c r="I7" s="15">
        <v>1</v>
      </c>
      <c r="J7" s="15" t="str">
        <f>CONCATENATE("["&amp;Tableau1[[#This Row],[Min]]&amp;"; "&amp;Tableau1[[#This Row],[Max]]&amp;"]")</f>
        <v>[0; 1]</v>
      </c>
      <c r="K7" s="40">
        <v>0</v>
      </c>
      <c r="L7" s="46">
        <v>0</v>
      </c>
      <c r="M7" s="18" t="s">
        <v>225</v>
      </c>
      <c r="N7" s="31"/>
      <c r="O7" s="30" t="s">
        <v>344</v>
      </c>
      <c r="P7" s="39"/>
      <c r="Q7" s="39"/>
    </row>
    <row r="8" spans="1:17" ht="45" x14ac:dyDescent="0.25">
      <c r="A8" s="4" t="s">
        <v>234</v>
      </c>
      <c r="B8" s="15">
        <f t="shared" ref="B8:B39" si="3">B7+D7</f>
        <v>40</v>
      </c>
      <c r="C8" s="15" t="str">
        <f t="shared" ref="C8:C72" si="4">CONCATENATE("0x",DEC2HEX(B8,8))</f>
        <v>0x00000028</v>
      </c>
      <c r="D8" s="15">
        <v>4</v>
      </c>
      <c r="E8" s="6" t="s">
        <v>208</v>
      </c>
      <c r="F8" s="15" t="s">
        <v>285</v>
      </c>
      <c r="G8" s="17" t="s">
        <v>0</v>
      </c>
      <c r="H8" s="15" t="s">
        <v>224</v>
      </c>
      <c r="I8" s="10" t="s">
        <v>164</v>
      </c>
      <c r="J8" s="10" t="s">
        <v>298</v>
      </c>
      <c r="K8" s="40" t="s">
        <v>224</v>
      </c>
      <c r="L8" s="46" t="s">
        <v>224</v>
      </c>
      <c r="M8" s="12" t="s">
        <v>299</v>
      </c>
      <c r="N8" s="31"/>
      <c r="O8" s="30"/>
      <c r="P8" s="39"/>
      <c r="Q8" s="39"/>
    </row>
    <row r="9" spans="1:17" ht="45" x14ac:dyDescent="0.25">
      <c r="A9" s="4" t="s">
        <v>234</v>
      </c>
      <c r="B9" s="15">
        <f t="shared" si="3"/>
        <v>44</v>
      </c>
      <c r="C9" s="15" t="str">
        <f t="shared" si="4"/>
        <v>0x0000002C</v>
      </c>
      <c r="D9" s="15">
        <v>4</v>
      </c>
      <c r="E9" s="6" t="s">
        <v>195</v>
      </c>
      <c r="F9" s="15" t="s">
        <v>285</v>
      </c>
      <c r="G9" s="17" t="s">
        <v>0</v>
      </c>
      <c r="H9" s="15" t="s">
        <v>224</v>
      </c>
      <c r="I9" s="10" t="s">
        <v>164</v>
      </c>
      <c r="J9" s="10" t="s">
        <v>298</v>
      </c>
      <c r="K9" s="40" t="s">
        <v>418</v>
      </c>
      <c r="L9" s="46" t="s">
        <v>418</v>
      </c>
      <c r="M9" s="12" t="s">
        <v>300</v>
      </c>
      <c r="N9" s="34"/>
      <c r="O9" s="30"/>
      <c r="P9" s="39"/>
      <c r="Q9" s="39"/>
    </row>
    <row r="10" spans="1:17" ht="45" x14ac:dyDescent="0.25">
      <c r="A10" s="4" t="s">
        <v>234</v>
      </c>
      <c r="B10" s="15">
        <f t="shared" si="3"/>
        <v>48</v>
      </c>
      <c r="C10" s="15" t="str">
        <f t="shared" si="4"/>
        <v>0x00000030</v>
      </c>
      <c r="D10" s="15">
        <v>4</v>
      </c>
      <c r="E10" s="6" t="s">
        <v>209</v>
      </c>
      <c r="F10" s="15" t="s">
        <v>285</v>
      </c>
      <c r="G10" s="17" t="s">
        <v>0</v>
      </c>
      <c r="H10" s="15" t="s">
        <v>224</v>
      </c>
      <c r="I10" s="10" t="s">
        <v>164</v>
      </c>
      <c r="J10" s="10" t="s">
        <v>298</v>
      </c>
      <c r="K10" s="40" t="s">
        <v>419</v>
      </c>
      <c r="L10" s="46" t="s">
        <v>419</v>
      </c>
      <c r="M10" s="12" t="s">
        <v>301</v>
      </c>
      <c r="N10" s="34"/>
      <c r="O10" s="30"/>
      <c r="P10" s="39"/>
      <c r="Q10" s="39"/>
    </row>
    <row r="11" spans="1:17" ht="45" x14ac:dyDescent="0.25">
      <c r="A11" s="4" t="s">
        <v>234</v>
      </c>
      <c r="B11" s="15">
        <f t="shared" si="3"/>
        <v>52</v>
      </c>
      <c r="C11" s="15" t="str">
        <f t="shared" si="4"/>
        <v>0x00000034</v>
      </c>
      <c r="D11" s="15">
        <v>4</v>
      </c>
      <c r="E11" s="6" t="s">
        <v>196</v>
      </c>
      <c r="F11" s="15" t="s">
        <v>285</v>
      </c>
      <c r="G11" s="17" t="s">
        <v>0</v>
      </c>
      <c r="H11" s="15" t="s">
        <v>224</v>
      </c>
      <c r="I11" s="10" t="s">
        <v>164</v>
      </c>
      <c r="J11" s="10" t="s">
        <v>298</v>
      </c>
      <c r="K11" s="40" t="s">
        <v>420</v>
      </c>
      <c r="L11" s="46" t="s">
        <v>420</v>
      </c>
      <c r="M11" s="12" t="s">
        <v>302</v>
      </c>
      <c r="N11" s="34"/>
      <c r="O11" s="30"/>
      <c r="P11" s="39"/>
      <c r="Q11" s="39"/>
    </row>
    <row r="12" spans="1:17" ht="45" x14ac:dyDescent="0.25">
      <c r="A12" s="4" t="s">
        <v>234</v>
      </c>
      <c r="B12" s="15">
        <f t="shared" si="3"/>
        <v>56</v>
      </c>
      <c r="C12" s="15" t="str">
        <f t="shared" si="4"/>
        <v>0x00000038</v>
      </c>
      <c r="D12" s="15">
        <v>4</v>
      </c>
      <c r="E12" s="6" t="s">
        <v>210</v>
      </c>
      <c r="F12" s="15" t="s">
        <v>285</v>
      </c>
      <c r="G12" s="17" t="s">
        <v>0</v>
      </c>
      <c r="H12" s="15" t="s">
        <v>224</v>
      </c>
      <c r="I12" s="10" t="s">
        <v>164</v>
      </c>
      <c r="J12" s="10" t="s">
        <v>298</v>
      </c>
      <c r="K12" s="40" t="s">
        <v>421</v>
      </c>
      <c r="L12" s="46" t="s">
        <v>421</v>
      </c>
      <c r="M12" s="12" t="s">
        <v>303</v>
      </c>
      <c r="N12" s="34"/>
      <c r="O12" s="30"/>
      <c r="P12" s="39"/>
      <c r="Q12" s="39"/>
    </row>
    <row r="13" spans="1:17" ht="45" x14ac:dyDescent="0.25">
      <c r="A13" s="4" t="s">
        <v>234</v>
      </c>
      <c r="B13" s="15">
        <f t="shared" si="3"/>
        <v>60</v>
      </c>
      <c r="C13" s="15" t="str">
        <f t="shared" si="4"/>
        <v>0x0000003C</v>
      </c>
      <c r="D13" s="15">
        <v>4</v>
      </c>
      <c r="E13" s="6" t="s">
        <v>197</v>
      </c>
      <c r="F13" s="15" t="s">
        <v>285</v>
      </c>
      <c r="G13" s="17" t="s">
        <v>0</v>
      </c>
      <c r="H13" s="15" t="s">
        <v>224</v>
      </c>
      <c r="I13" s="10" t="s">
        <v>164</v>
      </c>
      <c r="J13" s="10" t="s">
        <v>298</v>
      </c>
      <c r="K13" s="40" t="s">
        <v>422</v>
      </c>
      <c r="L13" s="46" t="s">
        <v>422</v>
      </c>
      <c r="M13" s="12" t="s">
        <v>304</v>
      </c>
      <c r="N13" s="34"/>
      <c r="O13" s="30"/>
      <c r="P13" s="39"/>
      <c r="Q13" s="39"/>
    </row>
    <row r="14" spans="1:17" ht="45" x14ac:dyDescent="0.25">
      <c r="A14" s="4" t="s">
        <v>234</v>
      </c>
      <c r="B14" s="15">
        <f t="shared" si="3"/>
        <v>64</v>
      </c>
      <c r="C14" s="15" t="str">
        <f t="shared" si="4"/>
        <v>0x00000040</v>
      </c>
      <c r="D14" s="15">
        <v>4</v>
      </c>
      <c r="E14" s="6" t="s">
        <v>211</v>
      </c>
      <c r="F14" s="15" t="s">
        <v>285</v>
      </c>
      <c r="G14" s="17" t="s">
        <v>0</v>
      </c>
      <c r="H14" s="15" t="s">
        <v>224</v>
      </c>
      <c r="I14" s="10" t="s">
        <v>164</v>
      </c>
      <c r="J14" s="10" t="s">
        <v>298</v>
      </c>
      <c r="K14" s="40" t="s">
        <v>423</v>
      </c>
      <c r="L14" s="46" t="s">
        <v>423</v>
      </c>
      <c r="M14" s="12" t="s">
        <v>305</v>
      </c>
      <c r="N14" s="34"/>
      <c r="O14" s="30"/>
      <c r="P14" s="39"/>
      <c r="Q14" s="39"/>
    </row>
    <row r="15" spans="1:17" ht="45" x14ac:dyDescent="0.25">
      <c r="A15" s="4" t="s">
        <v>234</v>
      </c>
      <c r="B15" s="15">
        <f t="shared" si="3"/>
        <v>68</v>
      </c>
      <c r="C15" s="15" t="str">
        <f t="shared" si="4"/>
        <v>0x00000044</v>
      </c>
      <c r="D15" s="15">
        <v>4</v>
      </c>
      <c r="E15" s="6" t="s">
        <v>198</v>
      </c>
      <c r="F15" s="15" t="s">
        <v>285</v>
      </c>
      <c r="G15" s="17" t="s">
        <v>0</v>
      </c>
      <c r="H15" s="15" t="s">
        <v>226</v>
      </c>
      <c r="I15" s="10" t="s">
        <v>164</v>
      </c>
      <c r="J15" s="10" t="s">
        <v>306</v>
      </c>
      <c r="K15" s="40" t="s">
        <v>226</v>
      </c>
      <c r="L15" s="46" t="s">
        <v>226</v>
      </c>
      <c r="M15" s="12" t="s">
        <v>307</v>
      </c>
      <c r="N15" s="34"/>
      <c r="O15" s="30"/>
      <c r="P15" s="39"/>
      <c r="Q15" s="39"/>
    </row>
    <row r="16" spans="1:17" ht="45" x14ac:dyDescent="0.25">
      <c r="A16" s="4" t="s">
        <v>234</v>
      </c>
      <c r="B16" s="15">
        <f t="shared" si="3"/>
        <v>72</v>
      </c>
      <c r="C16" s="15" t="str">
        <f t="shared" si="4"/>
        <v>0x00000048</v>
      </c>
      <c r="D16" s="15">
        <v>4</v>
      </c>
      <c r="E16" s="6" t="s">
        <v>212</v>
      </c>
      <c r="F16" s="15" t="s">
        <v>285</v>
      </c>
      <c r="G16" s="17" t="s">
        <v>0</v>
      </c>
      <c r="H16" s="15" t="s">
        <v>224</v>
      </c>
      <c r="I16" s="15" t="s">
        <v>164</v>
      </c>
      <c r="J16" s="15" t="s">
        <v>298</v>
      </c>
      <c r="K16" s="40" t="s">
        <v>424</v>
      </c>
      <c r="L16" s="46" t="s">
        <v>424</v>
      </c>
      <c r="M16" s="21" t="s">
        <v>308</v>
      </c>
      <c r="N16" s="34"/>
      <c r="O16" s="30"/>
      <c r="P16" s="39"/>
      <c r="Q16" s="39"/>
    </row>
    <row r="17" spans="1:17" ht="45" x14ac:dyDescent="0.25">
      <c r="A17" s="4" t="s">
        <v>234</v>
      </c>
      <c r="B17" s="15">
        <f t="shared" si="3"/>
        <v>76</v>
      </c>
      <c r="C17" s="15" t="str">
        <f t="shared" si="4"/>
        <v>0x0000004C</v>
      </c>
      <c r="D17" s="15">
        <v>4</v>
      </c>
      <c r="E17" s="6" t="s">
        <v>199</v>
      </c>
      <c r="F17" s="15" t="s">
        <v>285</v>
      </c>
      <c r="G17" s="17" t="s">
        <v>0</v>
      </c>
      <c r="H17" s="15" t="s">
        <v>224</v>
      </c>
      <c r="I17" s="15" t="s">
        <v>164</v>
      </c>
      <c r="J17" s="15" t="s">
        <v>298</v>
      </c>
      <c r="K17" s="40" t="s">
        <v>425</v>
      </c>
      <c r="L17" s="46" t="s">
        <v>425</v>
      </c>
      <c r="M17" s="21" t="s">
        <v>309</v>
      </c>
      <c r="N17" s="34"/>
      <c r="O17" s="30"/>
      <c r="P17" s="39"/>
      <c r="Q17" s="39"/>
    </row>
    <row r="18" spans="1:17" ht="45" x14ac:dyDescent="0.25">
      <c r="A18" s="4" t="s">
        <v>234</v>
      </c>
      <c r="B18" s="15">
        <f t="shared" si="3"/>
        <v>80</v>
      </c>
      <c r="C18" s="15" t="str">
        <f t="shared" si="4"/>
        <v>0x00000050</v>
      </c>
      <c r="D18" s="15">
        <v>4</v>
      </c>
      <c r="E18" s="6" t="s">
        <v>213</v>
      </c>
      <c r="F18" s="15" t="s">
        <v>285</v>
      </c>
      <c r="G18" s="17" t="s">
        <v>0</v>
      </c>
      <c r="H18" s="15" t="s">
        <v>224</v>
      </c>
      <c r="I18" s="15" t="s">
        <v>164</v>
      </c>
      <c r="J18" s="15" t="s">
        <v>298</v>
      </c>
      <c r="K18" s="40" t="s">
        <v>426</v>
      </c>
      <c r="L18" s="46" t="s">
        <v>426</v>
      </c>
      <c r="M18" s="21" t="s">
        <v>310</v>
      </c>
      <c r="N18" s="34"/>
      <c r="O18" s="30"/>
      <c r="P18" s="39"/>
      <c r="Q18" s="39"/>
    </row>
    <row r="19" spans="1:17" ht="45" x14ac:dyDescent="0.25">
      <c r="A19" s="4" t="s">
        <v>234</v>
      </c>
      <c r="B19" s="15">
        <f t="shared" si="3"/>
        <v>84</v>
      </c>
      <c r="C19" s="15" t="str">
        <f t="shared" si="4"/>
        <v>0x00000054</v>
      </c>
      <c r="D19" s="15">
        <v>4</v>
      </c>
      <c r="E19" s="6" t="s">
        <v>200</v>
      </c>
      <c r="F19" s="15" t="s">
        <v>285</v>
      </c>
      <c r="G19" s="17" t="s">
        <v>0</v>
      </c>
      <c r="H19" s="15" t="s">
        <v>224</v>
      </c>
      <c r="I19" s="15" t="s">
        <v>164</v>
      </c>
      <c r="J19" s="15" t="s">
        <v>298</v>
      </c>
      <c r="K19" s="40" t="s">
        <v>427</v>
      </c>
      <c r="L19" s="46" t="s">
        <v>427</v>
      </c>
      <c r="M19" s="21" t="s">
        <v>311</v>
      </c>
      <c r="N19" s="34"/>
      <c r="O19" s="30"/>
      <c r="P19" s="39"/>
      <c r="Q19" s="39"/>
    </row>
    <row r="20" spans="1:17" ht="45" x14ac:dyDescent="0.25">
      <c r="A20" s="4" t="s">
        <v>234</v>
      </c>
      <c r="B20" s="15">
        <f t="shared" si="3"/>
        <v>88</v>
      </c>
      <c r="C20" s="15" t="str">
        <f t="shared" si="4"/>
        <v>0x00000058</v>
      </c>
      <c r="D20" s="15">
        <v>4</v>
      </c>
      <c r="E20" s="6" t="s">
        <v>214</v>
      </c>
      <c r="F20" s="15" t="s">
        <v>285</v>
      </c>
      <c r="G20" s="17" t="s">
        <v>0</v>
      </c>
      <c r="H20" s="15" t="s">
        <v>224</v>
      </c>
      <c r="I20" s="15" t="s">
        <v>164</v>
      </c>
      <c r="J20" s="15" t="s">
        <v>298</v>
      </c>
      <c r="K20" s="40" t="s">
        <v>428</v>
      </c>
      <c r="L20" s="46" t="s">
        <v>428</v>
      </c>
      <c r="M20" s="21" t="s">
        <v>312</v>
      </c>
      <c r="N20" s="34"/>
      <c r="O20" s="30"/>
      <c r="P20" s="39"/>
      <c r="Q20" s="39"/>
    </row>
    <row r="21" spans="1:17" ht="45" x14ac:dyDescent="0.25">
      <c r="A21" s="4" t="s">
        <v>234</v>
      </c>
      <c r="B21" s="15">
        <f t="shared" si="3"/>
        <v>92</v>
      </c>
      <c r="C21" s="15" t="str">
        <f t="shared" si="4"/>
        <v>0x0000005C</v>
      </c>
      <c r="D21" s="15">
        <v>4</v>
      </c>
      <c r="E21" s="6" t="s">
        <v>201</v>
      </c>
      <c r="F21" s="15" t="s">
        <v>285</v>
      </c>
      <c r="G21" s="17" t="s">
        <v>0</v>
      </c>
      <c r="H21" s="15" t="s">
        <v>224</v>
      </c>
      <c r="I21" s="15" t="s">
        <v>164</v>
      </c>
      <c r="J21" s="15" t="s">
        <v>298</v>
      </c>
      <c r="K21" s="40" t="s">
        <v>429</v>
      </c>
      <c r="L21" s="46" t="s">
        <v>429</v>
      </c>
      <c r="M21" s="21" t="s">
        <v>313</v>
      </c>
      <c r="N21" s="34"/>
      <c r="O21" s="30"/>
      <c r="P21" s="39"/>
      <c r="Q21" s="39"/>
    </row>
    <row r="22" spans="1:17" ht="45" x14ac:dyDescent="0.25">
      <c r="A22" s="4" t="s">
        <v>234</v>
      </c>
      <c r="B22" s="15">
        <f t="shared" si="3"/>
        <v>96</v>
      </c>
      <c r="C22" s="15" t="str">
        <f t="shared" si="4"/>
        <v>0x00000060</v>
      </c>
      <c r="D22" s="15">
        <v>4</v>
      </c>
      <c r="E22" s="6" t="s">
        <v>215</v>
      </c>
      <c r="F22" s="15" t="s">
        <v>285</v>
      </c>
      <c r="G22" s="17" t="s">
        <v>0</v>
      </c>
      <c r="H22" s="15" t="s">
        <v>224</v>
      </c>
      <c r="I22" s="15" t="s">
        <v>164</v>
      </c>
      <c r="J22" s="15" t="s">
        <v>298</v>
      </c>
      <c r="K22" s="40" t="s">
        <v>430</v>
      </c>
      <c r="L22" s="46" t="s">
        <v>430</v>
      </c>
      <c r="M22" s="21" t="s">
        <v>314</v>
      </c>
      <c r="N22" s="34"/>
      <c r="O22" s="30"/>
      <c r="P22" s="39"/>
      <c r="Q22" s="39"/>
    </row>
    <row r="23" spans="1:17" ht="45" x14ac:dyDescent="0.25">
      <c r="A23" s="4" t="s">
        <v>234</v>
      </c>
      <c r="B23" s="15">
        <f t="shared" si="3"/>
        <v>100</v>
      </c>
      <c r="C23" s="15" t="str">
        <f t="shared" si="4"/>
        <v>0x00000064</v>
      </c>
      <c r="D23" s="15">
        <v>4</v>
      </c>
      <c r="E23" s="6" t="s">
        <v>202</v>
      </c>
      <c r="F23" s="15" t="s">
        <v>285</v>
      </c>
      <c r="G23" s="17" t="s">
        <v>0</v>
      </c>
      <c r="H23" s="15" t="s">
        <v>224</v>
      </c>
      <c r="I23" s="15" t="s">
        <v>164</v>
      </c>
      <c r="J23" s="15" t="s">
        <v>298</v>
      </c>
      <c r="K23" s="40" t="s">
        <v>431</v>
      </c>
      <c r="L23" s="46" t="s">
        <v>431</v>
      </c>
      <c r="M23" s="21" t="s">
        <v>315</v>
      </c>
      <c r="N23" s="34"/>
      <c r="O23" s="30"/>
      <c r="P23" s="39"/>
      <c r="Q23" s="39"/>
    </row>
    <row r="24" spans="1:17" ht="45" x14ac:dyDescent="0.25">
      <c r="A24" s="4" t="s">
        <v>234</v>
      </c>
      <c r="B24" s="15">
        <f t="shared" si="3"/>
        <v>104</v>
      </c>
      <c r="C24" s="15" t="str">
        <f t="shared" si="4"/>
        <v>0x00000068</v>
      </c>
      <c r="D24" s="15">
        <v>4</v>
      </c>
      <c r="E24" s="6" t="s">
        <v>216</v>
      </c>
      <c r="F24" s="15" t="s">
        <v>285</v>
      </c>
      <c r="G24" s="17" t="s">
        <v>0</v>
      </c>
      <c r="H24" s="15" t="s">
        <v>224</v>
      </c>
      <c r="I24" s="15" t="s">
        <v>164</v>
      </c>
      <c r="J24" s="15" t="s">
        <v>298</v>
      </c>
      <c r="K24" s="40" t="s">
        <v>432</v>
      </c>
      <c r="L24" s="46" t="s">
        <v>432</v>
      </c>
      <c r="M24" s="21" t="s">
        <v>316</v>
      </c>
      <c r="N24" s="34"/>
      <c r="O24" s="30"/>
      <c r="P24" s="39"/>
      <c r="Q24" s="39"/>
    </row>
    <row r="25" spans="1:17" ht="45" x14ac:dyDescent="0.25">
      <c r="A25" s="4" t="s">
        <v>234</v>
      </c>
      <c r="B25" s="15">
        <f t="shared" si="3"/>
        <v>108</v>
      </c>
      <c r="C25" s="15" t="str">
        <f t="shared" si="4"/>
        <v>0x0000006C</v>
      </c>
      <c r="D25" s="15">
        <v>4</v>
      </c>
      <c r="E25" s="6" t="s">
        <v>203</v>
      </c>
      <c r="F25" s="15" t="s">
        <v>285</v>
      </c>
      <c r="G25" s="17" t="s">
        <v>0</v>
      </c>
      <c r="H25" s="15" t="s">
        <v>224</v>
      </c>
      <c r="I25" s="15" t="s">
        <v>164</v>
      </c>
      <c r="J25" s="15" t="s">
        <v>298</v>
      </c>
      <c r="K25" s="40" t="s">
        <v>433</v>
      </c>
      <c r="L25" s="46" t="s">
        <v>433</v>
      </c>
      <c r="M25" s="21" t="s">
        <v>317</v>
      </c>
      <c r="N25" s="34"/>
      <c r="O25" s="30"/>
      <c r="P25" s="39"/>
      <c r="Q25" s="39"/>
    </row>
    <row r="26" spans="1:17" ht="45" x14ac:dyDescent="0.25">
      <c r="A26" s="4" t="s">
        <v>234</v>
      </c>
      <c r="B26" s="15">
        <f t="shared" si="3"/>
        <v>112</v>
      </c>
      <c r="C26" s="15" t="str">
        <f t="shared" si="4"/>
        <v>0x00000070</v>
      </c>
      <c r="D26" s="15">
        <v>4</v>
      </c>
      <c r="E26" s="6" t="s">
        <v>204</v>
      </c>
      <c r="F26" s="15" t="s">
        <v>285</v>
      </c>
      <c r="G26" s="17" t="s">
        <v>0</v>
      </c>
      <c r="H26" s="15" t="s">
        <v>224</v>
      </c>
      <c r="I26" s="15" t="s">
        <v>164</v>
      </c>
      <c r="J26" s="15" t="s">
        <v>298</v>
      </c>
      <c r="K26" s="40" t="s">
        <v>434</v>
      </c>
      <c r="L26" s="46" t="s">
        <v>434</v>
      </c>
      <c r="M26" s="21" t="s">
        <v>318</v>
      </c>
      <c r="N26" s="34"/>
      <c r="O26" s="30"/>
      <c r="P26" s="39"/>
      <c r="Q26" s="39"/>
    </row>
    <row r="27" spans="1:17" ht="45" x14ac:dyDescent="0.25">
      <c r="A27" s="4" t="s">
        <v>234</v>
      </c>
      <c r="B27" s="15">
        <f t="shared" si="3"/>
        <v>116</v>
      </c>
      <c r="C27" s="15" t="str">
        <f t="shared" si="4"/>
        <v>0x00000074</v>
      </c>
      <c r="D27" s="15">
        <v>4</v>
      </c>
      <c r="E27" s="6" t="s">
        <v>217</v>
      </c>
      <c r="F27" s="15" t="s">
        <v>285</v>
      </c>
      <c r="G27" s="17" t="s">
        <v>0</v>
      </c>
      <c r="H27" s="15" t="s">
        <v>224</v>
      </c>
      <c r="I27" s="15" t="s">
        <v>164</v>
      </c>
      <c r="J27" s="15" t="s">
        <v>298</v>
      </c>
      <c r="K27" s="40" t="s">
        <v>435</v>
      </c>
      <c r="L27" s="46" t="s">
        <v>435</v>
      </c>
      <c r="M27" s="21" t="s">
        <v>319</v>
      </c>
      <c r="N27" s="34"/>
      <c r="O27" s="30"/>
      <c r="P27" s="39"/>
      <c r="Q27" s="39"/>
    </row>
    <row r="28" spans="1:17" ht="45" x14ac:dyDescent="0.25">
      <c r="A28" s="4" t="s">
        <v>234</v>
      </c>
      <c r="B28" s="15">
        <f t="shared" si="3"/>
        <v>120</v>
      </c>
      <c r="C28" s="15" t="str">
        <f t="shared" si="4"/>
        <v>0x00000078</v>
      </c>
      <c r="D28" s="15">
        <v>4</v>
      </c>
      <c r="E28" s="6" t="s">
        <v>218</v>
      </c>
      <c r="F28" s="15" t="s">
        <v>285</v>
      </c>
      <c r="G28" s="17" t="s">
        <v>0</v>
      </c>
      <c r="H28" s="15" t="s">
        <v>224</v>
      </c>
      <c r="I28" s="15" t="s">
        <v>164</v>
      </c>
      <c r="J28" s="15" t="s">
        <v>298</v>
      </c>
      <c r="K28" s="40" t="s">
        <v>436</v>
      </c>
      <c r="L28" s="46" t="s">
        <v>436</v>
      </c>
      <c r="M28" s="21" t="s">
        <v>320</v>
      </c>
      <c r="N28" s="34"/>
      <c r="O28" s="30"/>
      <c r="P28" s="39"/>
      <c r="Q28" s="39"/>
    </row>
    <row r="29" spans="1:17" ht="45" x14ac:dyDescent="0.25">
      <c r="A29" s="4" t="s">
        <v>234</v>
      </c>
      <c r="B29" s="15">
        <f t="shared" si="3"/>
        <v>124</v>
      </c>
      <c r="C29" s="15" t="str">
        <f t="shared" si="4"/>
        <v>0x0000007C</v>
      </c>
      <c r="D29" s="15">
        <v>4</v>
      </c>
      <c r="E29" s="6" t="s">
        <v>205</v>
      </c>
      <c r="F29" s="15" t="s">
        <v>285</v>
      </c>
      <c r="G29" s="17" t="s">
        <v>0</v>
      </c>
      <c r="H29" s="15" t="s">
        <v>224</v>
      </c>
      <c r="I29" s="15" t="s">
        <v>164</v>
      </c>
      <c r="J29" s="15" t="s">
        <v>298</v>
      </c>
      <c r="K29" s="40" t="s">
        <v>437</v>
      </c>
      <c r="L29" s="46" t="s">
        <v>437</v>
      </c>
      <c r="M29" s="21" t="s">
        <v>321</v>
      </c>
      <c r="N29" s="34"/>
      <c r="O29" s="30"/>
      <c r="P29" s="39"/>
      <c r="Q29" s="39"/>
    </row>
    <row r="30" spans="1:17" ht="45" x14ac:dyDescent="0.25">
      <c r="A30" s="4" t="s">
        <v>234</v>
      </c>
      <c r="B30" s="15">
        <f t="shared" si="3"/>
        <v>128</v>
      </c>
      <c r="C30" s="15" t="str">
        <f t="shared" si="4"/>
        <v>0x00000080</v>
      </c>
      <c r="D30" s="15">
        <v>4</v>
      </c>
      <c r="E30" s="6" t="s">
        <v>219</v>
      </c>
      <c r="F30" s="15" t="s">
        <v>285</v>
      </c>
      <c r="G30" s="17" t="s">
        <v>0</v>
      </c>
      <c r="H30" s="15" t="s">
        <v>224</v>
      </c>
      <c r="I30" s="15" t="s">
        <v>164</v>
      </c>
      <c r="J30" s="15" t="s">
        <v>298</v>
      </c>
      <c r="K30" s="40" t="s">
        <v>438</v>
      </c>
      <c r="L30" s="46" t="s">
        <v>438</v>
      </c>
      <c r="M30" s="21" t="s">
        <v>322</v>
      </c>
      <c r="N30" s="34"/>
      <c r="O30" s="30"/>
      <c r="P30" s="39"/>
      <c r="Q30" s="39"/>
    </row>
    <row r="31" spans="1:17" ht="45" x14ac:dyDescent="0.25">
      <c r="A31" s="4" t="s">
        <v>234</v>
      </c>
      <c r="B31" s="15">
        <f t="shared" si="3"/>
        <v>132</v>
      </c>
      <c r="C31" s="15" t="str">
        <f t="shared" si="4"/>
        <v>0x00000084</v>
      </c>
      <c r="D31" s="15">
        <v>4</v>
      </c>
      <c r="E31" s="6" t="s">
        <v>206</v>
      </c>
      <c r="F31" s="15" t="s">
        <v>285</v>
      </c>
      <c r="G31" s="17" t="s">
        <v>0</v>
      </c>
      <c r="H31" s="15" t="s">
        <v>224</v>
      </c>
      <c r="I31" s="15" t="s">
        <v>164</v>
      </c>
      <c r="J31" s="15" t="s">
        <v>298</v>
      </c>
      <c r="K31" s="40" t="s">
        <v>439</v>
      </c>
      <c r="L31" s="46" t="s">
        <v>439</v>
      </c>
      <c r="M31" s="21" t="s">
        <v>323</v>
      </c>
      <c r="N31" s="34"/>
      <c r="O31" s="30"/>
      <c r="P31" s="39"/>
      <c r="Q31" s="39"/>
    </row>
    <row r="32" spans="1:17" ht="45" x14ac:dyDescent="0.25">
      <c r="A32" s="4" t="s">
        <v>234</v>
      </c>
      <c r="B32" s="15">
        <f t="shared" si="3"/>
        <v>136</v>
      </c>
      <c r="C32" s="15" t="str">
        <f t="shared" si="4"/>
        <v>0x00000088</v>
      </c>
      <c r="D32" s="15">
        <v>4</v>
      </c>
      <c r="E32" s="6" t="s">
        <v>220</v>
      </c>
      <c r="F32" s="15" t="s">
        <v>285</v>
      </c>
      <c r="G32" s="17" t="s">
        <v>0</v>
      </c>
      <c r="H32" s="15" t="s">
        <v>224</v>
      </c>
      <c r="I32" s="15" t="s">
        <v>164</v>
      </c>
      <c r="J32" s="15" t="s">
        <v>298</v>
      </c>
      <c r="K32" s="40" t="s">
        <v>440</v>
      </c>
      <c r="L32" s="46" t="s">
        <v>440</v>
      </c>
      <c r="M32" s="21" t="s">
        <v>324</v>
      </c>
      <c r="N32" s="34"/>
      <c r="O32" s="30"/>
      <c r="P32" s="39"/>
      <c r="Q32" s="39"/>
    </row>
    <row r="33" spans="1:17" ht="45" x14ac:dyDescent="0.25">
      <c r="A33" s="4" t="s">
        <v>234</v>
      </c>
      <c r="B33" s="15">
        <f t="shared" si="3"/>
        <v>140</v>
      </c>
      <c r="C33" s="15" t="str">
        <f t="shared" si="4"/>
        <v>0x0000008C</v>
      </c>
      <c r="D33" s="15">
        <v>4</v>
      </c>
      <c r="E33" s="6" t="s">
        <v>207</v>
      </c>
      <c r="F33" s="15" t="s">
        <v>285</v>
      </c>
      <c r="G33" s="17" t="s">
        <v>0</v>
      </c>
      <c r="H33" s="15" t="s">
        <v>224</v>
      </c>
      <c r="I33" s="15" t="s">
        <v>164</v>
      </c>
      <c r="J33" s="15" t="s">
        <v>298</v>
      </c>
      <c r="K33" s="40" t="s">
        <v>441</v>
      </c>
      <c r="L33" s="46" t="s">
        <v>441</v>
      </c>
      <c r="M33" s="21" t="s">
        <v>325</v>
      </c>
      <c r="N33" s="34"/>
      <c r="O33" s="30"/>
      <c r="P33" s="39"/>
      <c r="Q33" s="39"/>
    </row>
    <row r="34" spans="1:17" ht="45" x14ac:dyDescent="0.25">
      <c r="A34" s="4" t="s">
        <v>234</v>
      </c>
      <c r="B34" s="15">
        <f t="shared" si="3"/>
        <v>144</v>
      </c>
      <c r="C34" s="15" t="str">
        <f t="shared" si="4"/>
        <v>0x00000090</v>
      </c>
      <c r="D34" s="15">
        <v>4</v>
      </c>
      <c r="E34" s="6" t="s">
        <v>221</v>
      </c>
      <c r="F34" s="15" t="s">
        <v>285</v>
      </c>
      <c r="G34" s="17" t="s">
        <v>0</v>
      </c>
      <c r="H34" s="15" t="s">
        <v>226</v>
      </c>
      <c r="I34" s="15" t="s">
        <v>164</v>
      </c>
      <c r="J34" s="15" t="s">
        <v>306</v>
      </c>
      <c r="K34" s="40" t="s">
        <v>442</v>
      </c>
      <c r="L34" s="46" t="s">
        <v>442</v>
      </c>
      <c r="M34" s="21" t="s">
        <v>326</v>
      </c>
      <c r="N34" s="34"/>
      <c r="O34" s="30"/>
      <c r="P34" s="39"/>
      <c r="Q34" s="39"/>
    </row>
    <row r="35" spans="1:17" ht="45" x14ac:dyDescent="0.25">
      <c r="A35" s="4" t="s">
        <v>234</v>
      </c>
      <c r="B35" s="15">
        <f t="shared" si="3"/>
        <v>148</v>
      </c>
      <c r="C35" s="15" t="str">
        <f t="shared" si="4"/>
        <v>0x00000094</v>
      </c>
      <c r="D35" s="15">
        <v>4</v>
      </c>
      <c r="E35" s="6" t="s">
        <v>194</v>
      </c>
      <c r="F35" s="15" t="s">
        <v>285</v>
      </c>
      <c r="G35" s="17" t="s">
        <v>0</v>
      </c>
      <c r="H35" s="15" t="s">
        <v>224</v>
      </c>
      <c r="I35" s="15" t="s">
        <v>164</v>
      </c>
      <c r="J35" s="15" t="s">
        <v>298</v>
      </c>
      <c r="K35" s="40" t="s">
        <v>443</v>
      </c>
      <c r="L35" s="46" t="s">
        <v>443</v>
      </c>
      <c r="M35" s="21" t="s">
        <v>327</v>
      </c>
      <c r="N35" s="34"/>
      <c r="O35" s="30"/>
      <c r="P35" s="39"/>
      <c r="Q35" s="39"/>
    </row>
    <row r="36" spans="1:17" x14ac:dyDescent="0.25">
      <c r="A36" s="4" t="s">
        <v>234</v>
      </c>
      <c r="B36" s="15">
        <f>B35+D35</f>
        <v>152</v>
      </c>
      <c r="C36" s="15" t="str">
        <f t="shared" ref="C36:C38" si="5">CONCATENATE("0x",DEC2HEX(B36,8))</f>
        <v>0x00000098</v>
      </c>
      <c r="D36" s="15">
        <v>4</v>
      </c>
      <c r="E36" s="6" t="s">
        <v>262</v>
      </c>
      <c r="F36" s="15" t="s">
        <v>285</v>
      </c>
      <c r="G36" s="17" t="s">
        <v>0</v>
      </c>
      <c r="H36" s="15">
        <v>0</v>
      </c>
      <c r="I36" s="15">
        <v>3</v>
      </c>
      <c r="J36" s="15" t="s">
        <v>260</v>
      </c>
      <c r="K36" s="40">
        <v>3</v>
      </c>
      <c r="L36" s="46">
        <v>3</v>
      </c>
      <c r="M36" s="21" t="s">
        <v>261</v>
      </c>
      <c r="N36" s="34"/>
      <c r="O36" s="30"/>
      <c r="P36" s="39"/>
      <c r="Q36" s="39"/>
    </row>
    <row r="37" spans="1:17" x14ac:dyDescent="0.25">
      <c r="A37" s="4" t="s">
        <v>234</v>
      </c>
      <c r="B37" s="15">
        <f>B36+D36</f>
        <v>156</v>
      </c>
      <c r="C37" s="15" t="str">
        <f>CONCATENATE("0x",DEC2HEX(B37,8))</f>
        <v>0x0000009C</v>
      </c>
      <c r="D37" s="15">
        <v>4</v>
      </c>
      <c r="E37" s="38" t="s">
        <v>407</v>
      </c>
      <c r="F37" s="15" t="s">
        <v>285</v>
      </c>
      <c r="G37" s="17" t="s">
        <v>0</v>
      </c>
      <c r="H37" s="15">
        <v>1</v>
      </c>
      <c r="I37" s="15">
        <v>255</v>
      </c>
      <c r="J37" s="15" t="str">
        <f>CONCATENATE("["&amp;Tableau1[[#This Row],[Min]]&amp;"; "&amp;Tableau1[[#This Row],[Max]]&amp;"]")</f>
        <v>[1; 255]</v>
      </c>
      <c r="K37" s="40">
        <v>255</v>
      </c>
      <c r="L37" s="46">
        <v>255</v>
      </c>
      <c r="M37" s="18" t="s">
        <v>408</v>
      </c>
      <c r="N37" s="34"/>
      <c r="O37" s="30"/>
      <c r="P37" s="39"/>
      <c r="Q37" s="39"/>
    </row>
    <row r="38" spans="1:17" ht="45" x14ac:dyDescent="0.25">
      <c r="A38" s="4" t="s">
        <v>234</v>
      </c>
      <c r="B38" s="15">
        <f>B37+D37</f>
        <v>160</v>
      </c>
      <c r="C38" s="15" t="str">
        <f t="shared" si="5"/>
        <v>0x000000A0</v>
      </c>
      <c r="D38" s="15">
        <v>4</v>
      </c>
      <c r="E38" s="16" t="s">
        <v>69</v>
      </c>
      <c r="F38" s="15" t="s">
        <v>285</v>
      </c>
      <c r="G38" s="17" t="s">
        <v>0</v>
      </c>
      <c r="H38" s="15">
        <v>0</v>
      </c>
      <c r="I38" s="15">
        <v>1</v>
      </c>
      <c r="J38" s="15" t="str">
        <f>CONCATENATE("["&amp;Tableau1[[#This Row],[Min]]&amp;"; "&amp;Tableau1[[#This Row],[Max]]&amp;"]")</f>
        <v>[0; 1]</v>
      </c>
      <c r="K38" s="40">
        <v>1</v>
      </c>
      <c r="L38" s="46">
        <v>1</v>
      </c>
      <c r="M38" s="18" t="s">
        <v>413</v>
      </c>
      <c r="N38" s="31"/>
      <c r="O38" s="30" t="s">
        <v>345</v>
      </c>
      <c r="P38" s="39"/>
      <c r="Q38" s="39"/>
    </row>
    <row r="39" spans="1:17" ht="45" x14ac:dyDescent="0.25">
      <c r="A39" s="4" t="s">
        <v>234</v>
      </c>
      <c r="B39" s="15">
        <f t="shared" si="3"/>
        <v>164</v>
      </c>
      <c r="C39" s="15" t="str">
        <f t="shared" si="4"/>
        <v>0x000000A4</v>
      </c>
      <c r="D39" s="15">
        <v>4</v>
      </c>
      <c r="E39" s="16" t="s">
        <v>70</v>
      </c>
      <c r="F39" s="15" t="s">
        <v>285</v>
      </c>
      <c r="G39" s="17" t="s">
        <v>0</v>
      </c>
      <c r="H39" s="15">
        <v>0</v>
      </c>
      <c r="I39" s="15">
        <v>1</v>
      </c>
      <c r="J39" s="15" t="str">
        <f>CONCATENATE("["&amp;Tableau1[[#This Row],[Min]]&amp;"; "&amp;Tableau1[[#This Row],[Max]]&amp;"]")</f>
        <v>[0; 1]</v>
      </c>
      <c r="K39" s="40">
        <v>0</v>
      </c>
      <c r="L39" s="46">
        <v>0</v>
      </c>
      <c r="M39" s="18" t="s">
        <v>165</v>
      </c>
      <c r="N39" s="36" t="s">
        <v>347</v>
      </c>
      <c r="O39" s="35" t="s">
        <v>346</v>
      </c>
      <c r="P39" s="39"/>
      <c r="Q39" s="39"/>
    </row>
    <row r="40" spans="1:17" ht="45" x14ac:dyDescent="0.25">
      <c r="A40" s="4" t="s">
        <v>234</v>
      </c>
      <c r="B40" s="15">
        <f t="shared" ref="B40:B47" si="6">B39+D39</f>
        <v>168</v>
      </c>
      <c r="C40" s="15" t="str">
        <f t="shared" si="4"/>
        <v>0x000000A8</v>
      </c>
      <c r="D40" s="15">
        <v>4</v>
      </c>
      <c r="E40" s="16" t="s">
        <v>71</v>
      </c>
      <c r="F40" s="15" t="s">
        <v>285</v>
      </c>
      <c r="G40" s="17" t="s">
        <v>0</v>
      </c>
      <c r="H40" s="15">
        <v>0</v>
      </c>
      <c r="I40" s="15">
        <v>1</v>
      </c>
      <c r="J40" s="15" t="str">
        <f>CONCATENATE("["&amp;Tableau1[[#This Row],[Min]]&amp;"; "&amp;Tableau1[[#This Row],[Max]]&amp;"]")</f>
        <v>[0; 1]</v>
      </c>
      <c r="K40" s="40">
        <v>0</v>
      </c>
      <c r="L40" s="46">
        <v>0</v>
      </c>
      <c r="M40" s="18" t="s">
        <v>166</v>
      </c>
      <c r="N40" s="36" t="s">
        <v>347</v>
      </c>
      <c r="O40" s="35" t="s">
        <v>346</v>
      </c>
      <c r="P40" s="39"/>
      <c r="Q40" s="39"/>
    </row>
    <row r="41" spans="1:17" ht="45" x14ac:dyDescent="0.25">
      <c r="A41" s="4" t="s">
        <v>234</v>
      </c>
      <c r="B41" s="15">
        <f t="shared" si="6"/>
        <v>172</v>
      </c>
      <c r="C41" s="15" t="str">
        <f t="shared" si="4"/>
        <v>0x000000AC</v>
      </c>
      <c r="D41" s="15">
        <v>4</v>
      </c>
      <c r="E41" s="16" t="s">
        <v>72</v>
      </c>
      <c r="F41" s="15" t="s">
        <v>285</v>
      </c>
      <c r="G41" s="17" t="s">
        <v>0</v>
      </c>
      <c r="H41" s="15">
        <v>0</v>
      </c>
      <c r="I41" s="15">
        <v>1</v>
      </c>
      <c r="J41" s="15" t="str">
        <f>CONCATENATE("["&amp;Tableau1[[#This Row],[Min]]&amp;"; "&amp;Tableau1[[#This Row],[Max]]&amp;"]")</f>
        <v>[0; 1]</v>
      </c>
      <c r="K41" s="40">
        <v>0</v>
      </c>
      <c r="L41" s="46">
        <v>0</v>
      </c>
      <c r="M41" s="18" t="s">
        <v>167</v>
      </c>
      <c r="N41" s="36" t="s">
        <v>347</v>
      </c>
      <c r="O41" s="35" t="s">
        <v>348</v>
      </c>
      <c r="P41" s="39"/>
      <c r="Q41" s="39"/>
    </row>
    <row r="42" spans="1:17" ht="45" x14ac:dyDescent="0.25">
      <c r="A42" s="4" t="s">
        <v>234</v>
      </c>
      <c r="B42" s="15">
        <f t="shared" si="6"/>
        <v>176</v>
      </c>
      <c r="C42" s="15" t="str">
        <f t="shared" si="4"/>
        <v>0x000000B0</v>
      </c>
      <c r="D42" s="15">
        <v>4</v>
      </c>
      <c r="E42" s="16" t="s">
        <v>73</v>
      </c>
      <c r="F42" s="15" t="s">
        <v>285</v>
      </c>
      <c r="G42" s="17" t="s">
        <v>0</v>
      </c>
      <c r="H42" s="15">
        <v>0</v>
      </c>
      <c r="I42" s="15">
        <v>1</v>
      </c>
      <c r="J42" s="15" t="str">
        <f>CONCATENATE("["&amp;Tableau1[[#This Row],[Min]]&amp;"; "&amp;Tableau1[[#This Row],[Max]]&amp;"]")</f>
        <v>[0; 1]</v>
      </c>
      <c r="K42" s="40">
        <v>0</v>
      </c>
      <c r="L42" s="46">
        <v>0</v>
      </c>
      <c r="M42" s="18" t="s">
        <v>168</v>
      </c>
      <c r="N42" s="36" t="s">
        <v>347</v>
      </c>
      <c r="O42" s="35" t="s">
        <v>348</v>
      </c>
      <c r="P42" s="39"/>
      <c r="Q42" s="39"/>
    </row>
    <row r="43" spans="1:17" ht="45" x14ac:dyDescent="0.25">
      <c r="A43" s="4" t="s">
        <v>234</v>
      </c>
      <c r="B43" s="15">
        <f t="shared" si="6"/>
        <v>180</v>
      </c>
      <c r="C43" s="15" t="str">
        <f t="shared" si="4"/>
        <v>0x000000B4</v>
      </c>
      <c r="D43" s="15">
        <v>4</v>
      </c>
      <c r="E43" s="16" t="s">
        <v>74</v>
      </c>
      <c r="F43" s="15" t="s">
        <v>285</v>
      </c>
      <c r="G43" s="17" t="s">
        <v>0</v>
      </c>
      <c r="H43" s="15">
        <v>0</v>
      </c>
      <c r="I43" s="15">
        <v>1</v>
      </c>
      <c r="J43" s="15" t="str">
        <f>CONCATENATE("["&amp;Tableau1[[#This Row],[Min]]&amp;"; "&amp;Tableau1[[#This Row],[Max]]&amp;"]")</f>
        <v>[0; 1]</v>
      </c>
      <c r="K43" s="40">
        <v>0</v>
      </c>
      <c r="L43" s="46">
        <v>0</v>
      </c>
      <c r="M43" s="18" t="s">
        <v>169</v>
      </c>
      <c r="N43" s="36" t="s">
        <v>347</v>
      </c>
      <c r="O43" s="35" t="s">
        <v>349</v>
      </c>
      <c r="P43" s="39"/>
      <c r="Q43" s="39"/>
    </row>
    <row r="44" spans="1:17" ht="45" x14ac:dyDescent="0.25">
      <c r="A44" s="4" t="s">
        <v>234</v>
      </c>
      <c r="B44" s="15">
        <f t="shared" si="6"/>
        <v>184</v>
      </c>
      <c r="C44" s="15" t="str">
        <f t="shared" si="4"/>
        <v>0x000000B8</v>
      </c>
      <c r="D44" s="15">
        <v>4</v>
      </c>
      <c r="E44" s="16" t="s">
        <v>75</v>
      </c>
      <c r="F44" s="15" t="s">
        <v>285</v>
      </c>
      <c r="G44" s="17" t="s">
        <v>0</v>
      </c>
      <c r="H44" s="15">
        <v>0</v>
      </c>
      <c r="I44" s="15">
        <v>1</v>
      </c>
      <c r="J44" s="15" t="str">
        <f>CONCATENATE("["&amp;Tableau1[[#This Row],[Min]]&amp;"; "&amp;Tableau1[[#This Row],[Max]]&amp;"]")</f>
        <v>[0; 1]</v>
      </c>
      <c r="K44" s="40">
        <v>0</v>
      </c>
      <c r="L44" s="46">
        <v>0</v>
      </c>
      <c r="M44" s="18" t="s">
        <v>170</v>
      </c>
      <c r="N44" s="36" t="s">
        <v>347</v>
      </c>
      <c r="O44" s="35" t="s">
        <v>349</v>
      </c>
      <c r="P44" s="39"/>
      <c r="Q44" s="39"/>
    </row>
    <row r="45" spans="1:17" ht="45" x14ac:dyDescent="0.25">
      <c r="A45" s="4" t="s">
        <v>234</v>
      </c>
      <c r="B45" s="15">
        <f t="shared" si="6"/>
        <v>188</v>
      </c>
      <c r="C45" s="15" t="str">
        <f t="shared" si="4"/>
        <v>0x000000BC</v>
      </c>
      <c r="D45" s="15">
        <v>4</v>
      </c>
      <c r="E45" s="16" t="s">
        <v>76</v>
      </c>
      <c r="F45" s="15" t="s">
        <v>285</v>
      </c>
      <c r="G45" s="17" t="s">
        <v>0</v>
      </c>
      <c r="H45" s="15">
        <v>1</v>
      </c>
      <c r="I45" s="15">
        <v>12</v>
      </c>
      <c r="J45" s="15" t="str">
        <f>CONCATENATE("["&amp;Tableau1[[#This Row],[Min]]&amp;"; "&amp;Tableau1[[#This Row],[Max]]&amp;"]")</f>
        <v>[1; 12]</v>
      </c>
      <c r="K45" s="40">
        <v>10</v>
      </c>
      <c r="L45" s="46">
        <v>10</v>
      </c>
      <c r="M45" s="18" t="s">
        <v>106</v>
      </c>
      <c r="N45" s="31" t="s">
        <v>351</v>
      </c>
      <c r="O45" s="35" t="s">
        <v>350</v>
      </c>
      <c r="P45" s="39"/>
      <c r="Q45" s="39"/>
    </row>
    <row r="46" spans="1:17" ht="45" x14ac:dyDescent="0.25">
      <c r="A46" s="4" t="s">
        <v>234</v>
      </c>
      <c r="B46" s="15">
        <f t="shared" si="6"/>
        <v>192</v>
      </c>
      <c r="C46" s="15" t="str">
        <f t="shared" si="4"/>
        <v>0x000000C0</v>
      </c>
      <c r="D46" s="15">
        <v>4</v>
      </c>
      <c r="E46" s="16" t="s">
        <v>77</v>
      </c>
      <c r="F46" s="15" t="s">
        <v>285</v>
      </c>
      <c r="G46" s="17" t="s">
        <v>0</v>
      </c>
      <c r="H46" s="15">
        <v>1</v>
      </c>
      <c r="I46" s="15">
        <v>12</v>
      </c>
      <c r="J46" s="15" t="str">
        <f>CONCATENATE("["&amp;Tableau1[[#This Row],[Min]]&amp;"; "&amp;Tableau1[[#This Row],[Max]]&amp;"]")</f>
        <v>[1; 12]</v>
      </c>
      <c r="K46" s="40">
        <v>1</v>
      </c>
      <c r="L46" s="46">
        <v>1</v>
      </c>
      <c r="M46" s="18" t="s">
        <v>109</v>
      </c>
      <c r="N46" s="31" t="s">
        <v>351</v>
      </c>
      <c r="O46" s="35" t="s">
        <v>350</v>
      </c>
      <c r="P46" s="39"/>
      <c r="Q46" s="39"/>
    </row>
    <row r="47" spans="1:17" ht="45" x14ac:dyDescent="0.25">
      <c r="A47" s="4" t="s">
        <v>234</v>
      </c>
      <c r="B47" s="15">
        <f t="shared" si="6"/>
        <v>196</v>
      </c>
      <c r="C47" s="15" t="str">
        <f t="shared" si="4"/>
        <v>0x000000C4</v>
      </c>
      <c r="D47" s="15">
        <v>4</v>
      </c>
      <c r="E47" s="16" t="s">
        <v>78</v>
      </c>
      <c r="F47" s="15" t="s">
        <v>285</v>
      </c>
      <c r="G47" s="17" t="s">
        <v>0</v>
      </c>
      <c r="H47" s="15">
        <v>1</v>
      </c>
      <c r="I47" s="15">
        <v>12</v>
      </c>
      <c r="J47" s="15" t="str">
        <f>CONCATENATE("["&amp;Tableau1[[#This Row],[Min]]&amp;"; "&amp;Tableau1[[#This Row],[Max]]&amp;"]")</f>
        <v>[1; 12]</v>
      </c>
      <c r="K47" s="40">
        <v>1</v>
      </c>
      <c r="L47" s="46">
        <v>1</v>
      </c>
      <c r="M47" s="18" t="s">
        <v>110</v>
      </c>
      <c r="N47" s="31" t="s">
        <v>351</v>
      </c>
      <c r="O47" s="35" t="s">
        <v>350</v>
      </c>
      <c r="P47" s="39"/>
      <c r="Q47" s="39"/>
    </row>
    <row r="48" spans="1:17" s="3" customFormat="1" x14ac:dyDescent="0.25">
      <c r="A48" s="4" t="s">
        <v>234</v>
      </c>
      <c r="B48" s="15">
        <f>B47+D47</f>
        <v>200</v>
      </c>
      <c r="C48" s="15" t="str">
        <f>CONCATENATE("0x",DEC2HEX(B48,8))</f>
        <v>0x000000C8</v>
      </c>
      <c r="D48" s="15">
        <v>4</v>
      </c>
      <c r="E48" s="27" t="s">
        <v>330</v>
      </c>
      <c r="F48" s="15" t="s">
        <v>285</v>
      </c>
      <c r="G48" s="29" t="s">
        <v>0</v>
      </c>
      <c r="H48" s="15">
        <v>0</v>
      </c>
      <c r="I48" s="15">
        <v>3</v>
      </c>
      <c r="J48" s="15" t="str">
        <f>CONCATENATE("["&amp;Tableau1[[#This Row],[Min]]&amp;"; "&amp;Tableau1[[#This Row],[Max]]&amp;"]")</f>
        <v>[0; 3]</v>
      </c>
      <c r="K48" s="40">
        <v>3</v>
      </c>
      <c r="L48" s="46">
        <v>3</v>
      </c>
      <c r="M48" s="9" t="s">
        <v>277</v>
      </c>
      <c r="N48" s="31"/>
      <c r="O48" s="35"/>
      <c r="P48" s="39"/>
      <c r="Q48" s="39"/>
    </row>
    <row r="49" spans="1:17" ht="30" x14ac:dyDescent="0.25">
      <c r="A49" s="4" t="s">
        <v>234</v>
      </c>
      <c r="B49" s="15">
        <f t="shared" ref="B49:B353" si="7">B48+D48</f>
        <v>204</v>
      </c>
      <c r="C49" s="15" t="str">
        <f t="shared" si="4"/>
        <v>0x000000CC</v>
      </c>
      <c r="D49" s="15">
        <v>4</v>
      </c>
      <c r="E49" s="24" t="s">
        <v>265</v>
      </c>
      <c r="F49" s="26" t="s">
        <v>287</v>
      </c>
      <c r="G49" s="25" t="s">
        <v>38</v>
      </c>
      <c r="H49" s="26">
        <v>1</v>
      </c>
      <c r="I49" s="26">
        <v>1000</v>
      </c>
      <c r="J49" s="26" t="str">
        <f>CONCATENATE("["&amp;Tableau1[[#This Row],[Min]]&amp;"; "&amp;Tableau1[[#This Row],[Max]]&amp;"]")</f>
        <v>[1; 1000]</v>
      </c>
      <c r="K49" s="42">
        <v>36</v>
      </c>
      <c r="L49" s="48">
        <v>36</v>
      </c>
      <c r="M49" s="21" t="s">
        <v>266</v>
      </c>
      <c r="N49" s="36" t="s">
        <v>353</v>
      </c>
      <c r="O49" s="35" t="s">
        <v>352</v>
      </c>
      <c r="P49" s="39"/>
      <c r="Q49" s="39"/>
    </row>
    <row r="50" spans="1:17" ht="45" x14ac:dyDescent="0.25">
      <c r="A50" s="4" t="s">
        <v>234</v>
      </c>
      <c r="B50" s="15">
        <f t="shared" si="7"/>
        <v>208</v>
      </c>
      <c r="C50" s="15" t="str">
        <f t="shared" si="4"/>
        <v>0x000000D0</v>
      </c>
      <c r="D50" s="15">
        <v>4</v>
      </c>
      <c r="E50" s="16" t="s">
        <v>79</v>
      </c>
      <c r="F50" s="15" t="s">
        <v>285</v>
      </c>
      <c r="G50" s="17" t="s">
        <v>105</v>
      </c>
      <c r="H50" s="15">
        <v>1</v>
      </c>
      <c r="I50" s="15">
        <v>40</v>
      </c>
      <c r="J50" s="15" t="str">
        <f>CONCATENATE("["&amp;Tableau1[[#This Row],[Min]]&amp;"; "&amp;Tableau1[[#This Row],[Max]]&amp;"]")</f>
        <v>[1; 40]</v>
      </c>
      <c r="K50" s="40">
        <v>40</v>
      </c>
      <c r="L50" s="46">
        <v>40</v>
      </c>
      <c r="M50" s="18" t="s">
        <v>113</v>
      </c>
      <c r="N50" s="31" t="s">
        <v>351</v>
      </c>
      <c r="O50" s="35" t="s">
        <v>350</v>
      </c>
      <c r="P50" s="39"/>
      <c r="Q50" s="39"/>
    </row>
    <row r="51" spans="1:17" ht="45" x14ac:dyDescent="0.25">
      <c r="A51" s="4" t="s">
        <v>234</v>
      </c>
      <c r="B51" s="15">
        <f t="shared" si="7"/>
        <v>212</v>
      </c>
      <c r="C51" s="15" t="str">
        <f t="shared" si="4"/>
        <v>0x000000D4</v>
      </c>
      <c r="D51" s="15">
        <v>4</v>
      </c>
      <c r="E51" s="16" t="s">
        <v>80</v>
      </c>
      <c r="F51" s="15" t="s">
        <v>285</v>
      </c>
      <c r="G51" s="17" t="s">
        <v>0</v>
      </c>
      <c r="H51" s="15">
        <v>1</v>
      </c>
      <c r="I51" s="15">
        <v>100</v>
      </c>
      <c r="J51" s="15" t="str">
        <f>CONCATENATE("["&amp;Tableau1[[#This Row],[Min]]&amp;"; "&amp;Tableau1[[#This Row],[Max]]&amp;"]")</f>
        <v>[1; 100]</v>
      </c>
      <c r="K51" s="40">
        <v>70</v>
      </c>
      <c r="L51" s="46">
        <v>70</v>
      </c>
      <c r="M51" s="18" t="s">
        <v>107</v>
      </c>
      <c r="N51" s="31" t="s">
        <v>351</v>
      </c>
      <c r="O51" s="35" t="s">
        <v>354</v>
      </c>
      <c r="P51" s="39"/>
      <c r="Q51" s="39"/>
    </row>
    <row r="52" spans="1:17" ht="45" x14ac:dyDescent="0.25">
      <c r="A52" s="4" t="s">
        <v>234</v>
      </c>
      <c r="B52" s="15">
        <f t="shared" si="7"/>
        <v>216</v>
      </c>
      <c r="C52" s="15" t="str">
        <f t="shared" si="4"/>
        <v>0x000000D8</v>
      </c>
      <c r="D52" s="15">
        <v>4</v>
      </c>
      <c r="E52" s="16" t="s">
        <v>81</v>
      </c>
      <c r="F52" s="15" t="s">
        <v>285</v>
      </c>
      <c r="G52" s="17" t="s">
        <v>0</v>
      </c>
      <c r="H52" s="15">
        <v>1</v>
      </c>
      <c r="I52" s="15">
        <v>100</v>
      </c>
      <c r="J52" s="15" t="str">
        <f>CONCATENATE("["&amp;Tableau1[[#This Row],[Min]]&amp;"; "&amp;Tableau1[[#This Row],[Max]]&amp;"]")</f>
        <v>[1; 100]</v>
      </c>
      <c r="K52" s="40">
        <v>7</v>
      </c>
      <c r="L52" s="46">
        <v>7</v>
      </c>
      <c r="M52" s="18" t="s">
        <v>114</v>
      </c>
      <c r="N52" s="31" t="s">
        <v>351</v>
      </c>
      <c r="O52" s="35" t="s">
        <v>354</v>
      </c>
      <c r="P52" s="39"/>
      <c r="Q52" s="39"/>
    </row>
    <row r="53" spans="1:17" ht="45" x14ac:dyDescent="0.25">
      <c r="A53" s="4" t="s">
        <v>234</v>
      </c>
      <c r="B53" s="15">
        <f t="shared" si="7"/>
        <v>220</v>
      </c>
      <c r="C53" s="15" t="str">
        <f t="shared" si="4"/>
        <v>0x000000DC</v>
      </c>
      <c r="D53" s="15">
        <v>4</v>
      </c>
      <c r="E53" s="16" t="s">
        <v>82</v>
      </c>
      <c r="F53" s="15" t="s">
        <v>285</v>
      </c>
      <c r="G53" s="17" t="s">
        <v>0</v>
      </c>
      <c r="H53" s="15">
        <v>1</v>
      </c>
      <c r="I53" s="15">
        <v>100</v>
      </c>
      <c r="J53" s="15" t="str">
        <f>CONCATENATE("["&amp;Tableau1[[#This Row],[Min]]&amp;"; "&amp;Tableau1[[#This Row],[Max]]&amp;"]")</f>
        <v>[1; 100]</v>
      </c>
      <c r="K53" s="40">
        <v>7</v>
      </c>
      <c r="L53" s="46">
        <v>7</v>
      </c>
      <c r="M53" s="18" t="s">
        <v>111</v>
      </c>
      <c r="N53" s="31" t="s">
        <v>351</v>
      </c>
      <c r="O53" s="35" t="s">
        <v>354</v>
      </c>
      <c r="P53" s="39"/>
      <c r="Q53" s="39"/>
    </row>
    <row r="54" spans="1:17" s="3" customFormat="1" x14ac:dyDescent="0.25">
      <c r="A54" s="4" t="s">
        <v>234</v>
      </c>
      <c r="B54" s="15">
        <f>B53+D53</f>
        <v>224</v>
      </c>
      <c r="C54" s="15" t="str">
        <f>CONCATENATE("0x",DEC2HEX(B54,8))</f>
        <v>0x000000E0</v>
      </c>
      <c r="D54" s="15">
        <v>4</v>
      </c>
      <c r="E54" s="27" t="s">
        <v>331</v>
      </c>
      <c r="F54" s="15" t="s">
        <v>285</v>
      </c>
      <c r="G54" s="29" t="s">
        <v>0</v>
      </c>
      <c r="H54" s="15">
        <v>0</v>
      </c>
      <c r="I54" s="15">
        <v>3</v>
      </c>
      <c r="J54" s="15" t="str">
        <f>CONCATENATE("["&amp;Tableau1[[#This Row],[Min]]&amp;"; "&amp;Tableau1[[#This Row],[Max]]&amp;"]")</f>
        <v>[0; 3]</v>
      </c>
      <c r="K54" s="40">
        <v>3</v>
      </c>
      <c r="L54" s="46">
        <v>3</v>
      </c>
      <c r="M54" s="9" t="s">
        <v>278</v>
      </c>
      <c r="N54" s="31"/>
      <c r="O54" s="35"/>
      <c r="P54" s="39"/>
      <c r="Q54" s="39"/>
    </row>
    <row r="55" spans="1:17" ht="30" x14ac:dyDescent="0.25">
      <c r="A55" s="4" t="s">
        <v>234</v>
      </c>
      <c r="B55" s="15">
        <f>B54+D54</f>
        <v>228</v>
      </c>
      <c r="C55" s="15" t="str">
        <f t="shared" si="4"/>
        <v>0x000000E4</v>
      </c>
      <c r="D55" s="15">
        <v>4</v>
      </c>
      <c r="E55" s="24" t="s">
        <v>143</v>
      </c>
      <c r="F55" s="26" t="s">
        <v>287</v>
      </c>
      <c r="G55" s="25" t="s">
        <v>38</v>
      </c>
      <c r="H55" s="26">
        <v>1</v>
      </c>
      <c r="I55" s="26">
        <v>20000</v>
      </c>
      <c r="J55" s="26" t="str">
        <f>CONCATENATE("["&amp;Tableau1[[#This Row],[Min]]&amp;"; "&amp;Tableau1[[#This Row],[Max]]&amp;"]")</f>
        <v>[1; 20000]</v>
      </c>
      <c r="K55" s="42">
        <v>255</v>
      </c>
      <c r="L55" s="48">
        <v>255</v>
      </c>
      <c r="M55" s="21" t="s">
        <v>267</v>
      </c>
      <c r="N55" s="36" t="s">
        <v>356</v>
      </c>
      <c r="O55" s="35" t="s">
        <v>355</v>
      </c>
      <c r="P55" s="39"/>
      <c r="Q55" s="39"/>
    </row>
    <row r="56" spans="1:17" ht="45" x14ac:dyDescent="0.25">
      <c r="A56" s="4" t="s">
        <v>234</v>
      </c>
      <c r="B56" s="15">
        <f t="shared" si="7"/>
        <v>232</v>
      </c>
      <c r="C56" s="15" t="str">
        <f t="shared" si="4"/>
        <v>0x000000E8</v>
      </c>
      <c r="D56" s="15">
        <v>4</v>
      </c>
      <c r="E56" s="16" t="s">
        <v>83</v>
      </c>
      <c r="F56" s="15" t="s">
        <v>285</v>
      </c>
      <c r="G56" s="17" t="s">
        <v>105</v>
      </c>
      <c r="H56" s="15">
        <v>1</v>
      </c>
      <c r="I56" s="15">
        <v>40</v>
      </c>
      <c r="J56" s="15" t="str">
        <f>CONCATENATE("["&amp;Tableau1[[#This Row],[Min]]&amp;"; "&amp;Tableau1[[#This Row],[Max]]&amp;"]")</f>
        <v>[1; 40]</v>
      </c>
      <c r="K56" s="40">
        <v>40</v>
      </c>
      <c r="L56" s="46">
        <v>40</v>
      </c>
      <c r="M56" s="18" t="s">
        <v>116</v>
      </c>
      <c r="N56" s="31" t="s">
        <v>351</v>
      </c>
      <c r="O56" s="35" t="s">
        <v>354</v>
      </c>
      <c r="P56" s="39"/>
      <c r="Q56" s="39"/>
    </row>
    <row r="57" spans="1:17" ht="45" x14ac:dyDescent="0.25">
      <c r="A57" s="4" t="s">
        <v>234</v>
      </c>
      <c r="B57" s="15">
        <f t="shared" si="7"/>
        <v>236</v>
      </c>
      <c r="C57" s="15" t="str">
        <f t="shared" si="4"/>
        <v>0x000000EC</v>
      </c>
      <c r="D57" s="15">
        <v>4</v>
      </c>
      <c r="E57" s="16" t="s">
        <v>84</v>
      </c>
      <c r="F57" s="15" t="s">
        <v>285</v>
      </c>
      <c r="G57" s="17" t="s">
        <v>0</v>
      </c>
      <c r="H57" s="15">
        <v>1</v>
      </c>
      <c r="I57" s="15">
        <v>100</v>
      </c>
      <c r="J57" s="15" t="str">
        <f>CONCATENATE("["&amp;Tableau1[[#This Row],[Min]]&amp;"; "&amp;Tableau1[[#This Row],[Max]]&amp;"]")</f>
        <v>[1; 100]</v>
      </c>
      <c r="K57" s="40">
        <v>10</v>
      </c>
      <c r="L57" s="46">
        <v>10</v>
      </c>
      <c r="M57" s="18" t="s">
        <v>108</v>
      </c>
      <c r="N57" s="31" t="s">
        <v>351</v>
      </c>
      <c r="O57" s="35" t="s">
        <v>357</v>
      </c>
      <c r="P57" s="39"/>
      <c r="Q57" s="39"/>
    </row>
    <row r="58" spans="1:17" ht="45" x14ac:dyDescent="0.25">
      <c r="A58" s="4" t="s">
        <v>234</v>
      </c>
      <c r="B58" s="15">
        <f t="shared" si="7"/>
        <v>240</v>
      </c>
      <c r="C58" s="15" t="str">
        <f t="shared" si="4"/>
        <v>0x000000F0</v>
      </c>
      <c r="D58" s="15">
        <v>4</v>
      </c>
      <c r="E58" s="16" t="s">
        <v>85</v>
      </c>
      <c r="F58" s="15" t="s">
        <v>285</v>
      </c>
      <c r="G58" s="17" t="s">
        <v>0</v>
      </c>
      <c r="H58" s="15">
        <v>1</v>
      </c>
      <c r="I58" s="15">
        <v>100</v>
      </c>
      <c r="J58" s="15" t="str">
        <f>CONCATENATE("["&amp;Tableau1[[#This Row],[Min]]&amp;"; "&amp;Tableau1[[#This Row],[Max]]&amp;"]")</f>
        <v>[1; 100]</v>
      </c>
      <c r="K58" s="40">
        <v>1</v>
      </c>
      <c r="L58" s="46">
        <v>1</v>
      </c>
      <c r="M58" s="18" t="s">
        <v>115</v>
      </c>
      <c r="N58" s="31" t="s">
        <v>351</v>
      </c>
      <c r="O58" s="35" t="s">
        <v>357</v>
      </c>
      <c r="P58" s="39"/>
      <c r="Q58" s="39"/>
    </row>
    <row r="59" spans="1:17" ht="45" x14ac:dyDescent="0.25">
      <c r="A59" s="4" t="s">
        <v>234</v>
      </c>
      <c r="B59" s="15">
        <f t="shared" si="7"/>
        <v>244</v>
      </c>
      <c r="C59" s="15" t="str">
        <f t="shared" si="4"/>
        <v>0x000000F4</v>
      </c>
      <c r="D59" s="15">
        <v>4</v>
      </c>
      <c r="E59" s="16" t="s">
        <v>86</v>
      </c>
      <c r="F59" s="15" t="s">
        <v>285</v>
      </c>
      <c r="G59" s="17" t="s">
        <v>0</v>
      </c>
      <c r="H59" s="15">
        <v>1</v>
      </c>
      <c r="I59" s="15">
        <v>100</v>
      </c>
      <c r="J59" s="15" t="str">
        <f>CONCATENATE("["&amp;Tableau1[[#This Row],[Min]]&amp;"; "&amp;Tableau1[[#This Row],[Max]]&amp;"]")</f>
        <v>[1; 100]</v>
      </c>
      <c r="K59" s="40">
        <v>1</v>
      </c>
      <c r="L59" s="46">
        <v>1</v>
      </c>
      <c r="M59" s="18" t="s">
        <v>112</v>
      </c>
      <c r="N59" s="31" t="s">
        <v>351</v>
      </c>
      <c r="O59" s="35" t="s">
        <v>357</v>
      </c>
      <c r="P59" s="39"/>
      <c r="Q59" s="39"/>
    </row>
    <row r="60" spans="1:17" s="3" customFormat="1" x14ac:dyDescent="0.25">
      <c r="A60" s="4" t="s">
        <v>234</v>
      </c>
      <c r="B60" s="15">
        <f>B59+D59</f>
        <v>248</v>
      </c>
      <c r="C60" s="15" t="str">
        <f>CONCATENATE("0x",DEC2HEX(B60,8))</f>
        <v>0x000000F8</v>
      </c>
      <c r="D60" s="15">
        <v>4</v>
      </c>
      <c r="E60" s="27" t="s">
        <v>332</v>
      </c>
      <c r="F60" s="15" t="s">
        <v>285</v>
      </c>
      <c r="G60" s="29" t="s">
        <v>0</v>
      </c>
      <c r="H60" s="15">
        <v>0</v>
      </c>
      <c r="I60" s="15">
        <v>3</v>
      </c>
      <c r="J60" s="15" t="str">
        <f>CONCATENATE("["&amp;Tableau1[[#This Row],[Min]]&amp;"; "&amp;Tableau1[[#This Row],[Max]]&amp;"]")</f>
        <v>[0; 3]</v>
      </c>
      <c r="K60" s="40">
        <v>3</v>
      </c>
      <c r="L60" s="46">
        <v>3</v>
      </c>
      <c r="M60" s="9" t="s">
        <v>279</v>
      </c>
      <c r="N60" s="31"/>
      <c r="O60" s="35"/>
      <c r="P60" s="39"/>
      <c r="Q60" s="39"/>
    </row>
    <row r="61" spans="1:17" x14ac:dyDescent="0.25">
      <c r="A61" s="4" t="s">
        <v>234</v>
      </c>
      <c r="B61" s="15">
        <f>B60+D60</f>
        <v>252</v>
      </c>
      <c r="C61" s="15" t="str">
        <f t="shared" si="4"/>
        <v>0x000000FC</v>
      </c>
      <c r="D61" s="15">
        <v>4</v>
      </c>
      <c r="E61" s="16" t="s">
        <v>144</v>
      </c>
      <c r="F61" s="15" t="s">
        <v>287</v>
      </c>
      <c r="G61" s="17" t="s">
        <v>38</v>
      </c>
      <c r="H61" s="15">
        <v>1</v>
      </c>
      <c r="I61" s="15">
        <v>2630</v>
      </c>
      <c r="J61" s="15" t="str">
        <f>CONCATENATE("["&amp;Tableau1[[#This Row],[Min]]&amp;"; "&amp;Tableau1[[#This Row],[Max]]&amp;"]")</f>
        <v>[1; 2630]</v>
      </c>
      <c r="K61" s="43">
        <v>25</v>
      </c>
      <c r="L61" s="49">
        <v>25</v>
      </c>
      <c r="M61" s="18" t="s">
        <v>268</v>
      </c>
      <c r="N61" s="36" t="s">
        <v>359</v>
      </c>
      <c r="O61" s="35" t="s">
        <v>358</v>
      </c>
      <c r="P61" s="39"/>
      <c r="Q61" s="39"/>
    </row>
    <row r="62" spans="1:17" x14ac:dyDescent="0.25">
      <c r="A62" s="4" t="s">
        <v>234</v>
      </c>
      <c r="B62" s="15">
        <f t="shared" si="7"/>
        <v>256</v>
      </c>
      <c r="C62" s="15" t="str">
        <f t="shared" si="4"/>
        <v>0x00000100</v>
      </c>
      <c r="D62" s="15">
        <v>4</v>
      </c>
      <c r="E62" s="16" t="s">
        <v>87</v>
      </c>
      <c r="F62" s="15" t="s">
        <v>285</v>
      </c>
      <c r="G62" s="17" t="s">
        <v>105</v>
      </c>
      <c r="H62" s="15">
        <v>1</v>
      </c>
      <c r="I62" s="15">
        <v>400</v>
      </c>
      <c r="J62" s="15" t="str">
        <f>CONCATENATE("["&amp;Tableau1[[#This Row],[Min]]&amp;"; "&amp;Tableau1[[#This Row],[Max]]&amp;"]")</f>
        <v>[1; 400]</v>
      </c>
      <c r="K62" s="40">
        <v>400</v>
      </c>
      <c r="L62" s="46">
        <v>400</v>
      </c>
      <c r="M62" s="18" t="s">
        <v>145</v>
      </c>
      <c r="N62" s="31" t="s">
        <v>351</v>
      </c>
      <c r="O62" s="30" t="s">
        <v>360</v>
      </c>
      <c r="P62" s="39"/>
      <c r="Q62" s="39"/>
    </row>
    <row r="63" spans="1:17" ht="45" x14ac:dyDescent="0.25">
      <c r="A63" s="4" t="s">
        <v>234</v>
      </c>
      <c r="B63" s="15">
        <f t="shared" si="7"/>
        <v>260</v>
      </c>
      <c r="C63" s="15" t="str">
        <f t="shared" si="4"/>
        <v>0x00000104</v>
      </c>
      <c r="D63" s="15">
        <v>4</v>
      </c>
      <c r="E63" s="24" t="s">
        <v>270</v>
      </c>
      <c r="F63" s="15" t="s">
        <v>285</v>
      </c>
      <c r="G63" s="17" t="s">
        <v>0</v>
      </c>
      <c r="H63" s="15">
        <v>1</v>
      </c>
      <c r="I63" s="15">
        <v>12</v>
      </c>
      <c r="J63" s="15" t="str">
        <f>CONCATENATE("["&amp;Tableau1[[#This Row],[Min]]&amp;"; "&amp;Tableau1[[#This Row],[Max]]&amp;"]")</f>
        <v>[1; 12]</v>
      </c>
      <c r="K63" s="40">
        <v>4</v>
      </c>
      <c r="L63" s="46">
        <v>4</v>
      </c>
      <c r="M63" s="18" t="s">
        <v>117</v>
      </c>
      <c r="N63" s="31" t="s">
        <v>362</v>
      </c>
      <c r="O63" s="35" t="s">
        <v>361</v>
      </c>
      <c r="P63" s="39"/>
      <c r="Q63" s="39"/>
    </row>
    <row r="64" spans="1:17" s="3" customFormat="1" x14ac:dyDescent="0.25">
      <c r="A64" s="4" t="s">
        <v>234</v>
      </c>
      <c r="B64" s="15">
        <f t="shared" si="7"/>
        <v>264</v>
      </c>
      <c r="C64" s="15" t="str">
        <f t="shared" si="4"/>
        <v>0x00000108</v>
      </c>
      <c r="D64" s="15">
        <v>4</v>
      </c>
      <c r="E64" s="27" t="s">
        <v>333</v>
      </c>
      <c r="F64" s="15" t="s">
        <v>285</v>
      </c>
      <c r="G64" s="29" t="s">
        <v>0</v>
      </c>
      <c r="H64" s="15">
        <v>0</v>
      </c>
      <c r="I64" s="15">
        <v>3</v>
      </c>
      <c r="J64" s="15" t="str">
        <f>CONCATENATE("["&amp;Tableau1[[#This Row],[Min]]&amp;"; "&amp;Tableau1[[#This Row],[Max]]&amp;"]")</f>
        <v>[0; 3]</v>
      </c>
      <c r="K64" s="40">
        <v>3</v>
      </c>
      <c r="L64" s="46">
        <v>3</v>
      </c>
      <c r="M64" s="9" t="s">
        <v>280</v>
      </c>
      <c r="N64" s="31"/>
      <c r="O64" s="35"/>
      <c r="P64" s="39"/>
      <c r="Q64" s="39"/>
    </row>
    <row r="65" spans="1:17" s="3" customFormat="1" x14ac:dyDescent="0.25">
      <c r="A65" s="4" t="s">
        <v>234</v>
      </c>
      <c r="B65" s="15">
        <f t="shared" si="7"/>
        <v>268</v>
      </c>
      <c r="C65" s="15" t="str">
        <f>CONCATENATE("0x",DEC2HEX(B65,8))</f>
        <v>0x0000010C</v>
      </c>
      <c r="D65" s="15">
        <v>4</v>
      </c>
      <c r="E65" s="16" t="s">
        <v>256</v>
      </c>
      <c r="F65" s="15" t="s">
        <v>287</v>
      </c>
      <c r="G65" s="17" t="s">
        <v>38</v>
      </c>
      <c r="H65" s="15">
        <v>1</v>
      </c>
      <c r="I65" s="15">
        <v>2630</v>
      </c>
      <c r="J65" s="15" t="str">
        <f>CONCATENATE("["&amp;Tableau1[[#This Row],[Min]]&amp;"; "&amp;Tableau1[[#This Row],[Max]]&amp;"]")</f>
        <v>[1; 2630]</v>
      </c>
      <c r="K65" s="43">
        <v>50</v>
      </c>
      <c r="L65" s="49">
        <v>50</v>
      </c>
      <c r="M65" s="18" t="s">
        <v>263</v>
      </c>
      <c r="N65" s="31" t="s">
        <v>362</v>
      </c>
      <c r="O65" s="35" t="s">
        <v>363</v>
      </c>
      <c r="P65" s="39"/>
      <c r="Q65" s="39"/>
    </row>
    <row r="66" spans="1:17" ht="45" x14ac:dyDescent="0.25">
      <c r="A66" s="4" t="s">
        <v>234</v>
      </c>
      <c r="B66" s="15">
        <f t="shared" si="7"/>
        <v>272</v>
      </c>
      <c r="C66" s="15" t="str">
        <f t="shared" ref="C66" si="8">CONCATENATE("0x",DEC2HEX(B66,8))</f>
        <v>0x00000110</v>
      </c>
      <c r="D66" s="15">
        <v>4</v>
      </c>
      <c r="E66" s="16" t="s">
        <v>269</v>
      </c>
      <c r="F66" s="15" t="s">
        <v>285</v>
      </c>
      <c r="G66" s="17" t="s">
        <v>105</v>
      </c>
      <c r="H66" s="15">
        <v>1</v>
      </c>
      <c r="I66" s="15">
        <v>30</v>
      </c>
      <c r="J66" s="15" t="str">
        <f>CONCATENATE("["&amp;Tableau1[[#This Row],[Min]]&amp;"; "&amp;Tableau1[[#This Row],[Max]]&amp;"]")</f>
        <v>[1; 30]</v>
      </c>
      <c r="K66" s="40">
        <v>30</v>
      </c>
      <c r="L66" s="46">
        <v>30</v>
      </c>
      <c r="M66" s="18" t="s">
        <v>118</v>
      </c>
      <c r="N66" s="31" t="s">
        <v>362</v>
      </c>
      <c r="O66" s="35" t="s">
        <v>361</v>
      </c>
      <c r="P66" s="39"/>
      <c r="Q66" s="39"/>
    </row>
    <row r="67" spans="1:17" x14ac:dyDescent="0.25">
      <c r="A67" s="4" t="s">
        <v>234</v>
      </c>
      <c r="B67" s="15">
        <f t="shared" si="7"/>
        <v>276</v>
      </c>
      <c r="C67" s="15" t="str">
        <f t="shared" ref="C67" si="9">CONCATENATE("0x",DEC2HEX(B67,8))</f>
        <v>0x00000114</v>
      </c>
      <c r="D67" s="15">
        <v>4</v>
      </c>
      <c r="E67" s="16" t="s">
        <v>257</v>
      </c>
      <c r="F67" s="15" t="s">
        <v>285</v>
      </c>
      <c r="G67" s="17" t="s">
        <v>258</v>
      </c>
      <c r="H67" s="15">
        <v>50</v>
      </c>
      <c r="I67" s="15">
        <v>100</v>
      </c>
      <c r="J67" s="15" t="str">
        <f>CONCATENATE("["&amp;Tableau1[[#This Row],[Min]]&amp;"; "&amp;Tableau1[[#This Row],[Max]]&amp;"]")</f>
        <v>[50; 100]</v>
      </c>
      <c r="K67" s="40">
        <v>50</v>
      </c>
      <c r="L67" s="46">
        <v>50</v>
      </c>
      <c r="M67" s="18" t="s">
        <v>259</v>
      </c>
      <c r="N67" s="31" t="s">
        <v>362</v>
      </c>
      <c r="O67" s="35" t="s">
        <v>363</v>
      </c>
      <c r="P67" s="39"/>
      <c r="Q67" s="39"/>
    </row>
    <row r="68" spans="1:17" x14ac:dyDescent="0.25">
      <c r="A68" s="4" t="s">
        <v>234</v>
      </c>
      <c r="B68" s="15">
        <f t="shared" si="7"/>
        <v>280</v>
      </c>
      <c r="C68" s="15" t="str">
        <f t="shared" si="4"/>
        <v>0x00000118</v>
      </c>
      <c r="D68" s="15">
        <v>4</v>
      </c>
      <c r="E68" s="16" t="s">
        <v>88</v>
      </c>
      <c r="F68" s="15" t="s">
        <v>285</v>
      </c>
      <c r="G68" s="17" t="s">
        <v>0</v>
      </c>
      <c r="H68" s="15">
        <v>0</v>
      </c>
      <c r="I68" s="15">
        <v>50</v>
      </c>
      <c r="J68" s="15" t="str">
        <f>CONCATENATE("["&amp;Tableau1[[#This Row],[Min]]&amp;"; "&amp;Tableau1[[#This Row],[Max]]&amp;"]")</f>
        <v>[0; 50]</v>
      </c>
      <c r="K68" s="40">
        <v>10</v>
      </c>
      <c r="L68" s="46">
        <v>10</v>
      </c>
      <c r="M68" s="18" t="s">
        <v>119</v>
      </c>
      <c r="N68" s="31"/>
      <c r="O68" s="30" t="s">
        <v>364</v>
      </c>
      <c r="P68" s="39"/>
      <c r="Q68" s="39"/>
    </row>
    <row r="69" spans="1:17" x14ac:dyDescent="0.25">
      <c r="A69" s="4" t="s">
        <v>234</v>
      </c>
      <c r="B69" s="15">
        <f t="shared" si="7"/>
        <v>284</v>
      </c>
      <c r="C69" s="15" t="str">
        <f t="shared" si="4"/>
        <v>0x0000011C</v>
      </c>
      <c r="D69" s="15">
        <v>4</v>
      </c>
      <c r="E69" s="16" t="s">
        <v>89</v>
      </c>
      <c r="F69" s="15" t="s">
        <v>285</v>
      </c>
      <c r="G69" s="17" t="s">
        <v>0</v>
      </c>
      <c r="H69" s="15">
        <v>0</v>
      </c>
      <c r="I69" s="15">
        <v>50</v>
      </c>
      <c r="J69" s="15" t="str">
        <f>CONCATENATE("["&amp;Tableau1[[#This Row],[Min]]&amp;"; "&amp;Tableau1[[#This Row],[Max]]&amp;"]")</f>
        <v>[0; 50]</v>
      </c>
      <c r="K69" s="40">
        <v>10</v>
      </c>
      <c r="L69" s="46">
        <v>10</v>
      </c>
      <c r="M69" s="18" t="s">
        <v>120</v>
      </c>
      <c r="N69" s="31"/>
      <c r="O69" s="30" t="s">
        <v>365</v>
      </c>
      <c r="P69" s="39"/>
      <c r="Q69" s="39"/>
    </row>
    <row r="70" spans="1:17" x14ac:dyDescent="0.25">
      <c r="A70" s="4" t="s">
        <v>234</v>
      </c>
      <c r="B70" s="15">
        <f t="shared" si="7"/>
        <v>288</v>
      </c>
      <c r="C70" s="15" t="str">
        <f t="shared" si="4"/>
        <v>0x00000120</v>
      </c>
      <c r="D70" s="15">
        <v>4</v>
      </c>
      <c r="E70" s="16" t="s">
        <v>90</v>
      </c>
      <c r="F70" s="15" t="s">
        <v>285</v>
      </c>
      <c r="G70" s="17" t="s">
        <v>0</v>
      </c>
      <c r="H70" s="15">
        <v>0</v>
      </c>
      <c r="I70" s="15">
        <v>50</v>
      </c>
      <c r="J70" s="15" t="str">
        <f>CONCATENATE("["&amp;Tableau1[[#This Row],[Min]]&amp;"; "&amp;Tableau1[[#This Row],[Max]]&amp;"]")</f>
        <v>[0; 50]</v>
      </c>
      <c r="K70" s="40">
        <v>10</v>
      </c>
      <c r="L70" s="46">
        <v>10</v>
      </c>
      <c r="M70" s="18" t="s">
        <v>121</v>
      </c>
      <c r="N70" s="31"/>
      <c r="O70" s="30" t="s">
        <v>366</v>
      </c>
      <c r="P70" s="39"/>
      <c r="Q70" s="39"/>
    </row>
    <row r="71" spans="1:17" ht="45" x14ac:dyDescent="0.25">
      <c r="A71" s="4" t="s">
        <v>234</v>
      </c>
      <c r="B71" s="15">
        <f t="shared" si="7"/>
        <v>292</v>
      </c>
      <c r="C71" s="15" t="str">
        <f t="shared" si="4"/>
        <v>0x00000124</v>
      </c>
      <c r="D71" s="15">
        <v>4</v>
      </c>
      <c r="E71" s="16" t="s">
        <v>91</v>
      </c>
      <c r="F71" s="15" t="s">
        <v>285</v>
      </c>
      <c r="G71" s="17" t="s">
        <v>38</v>
      </c>
      <c r="H71" s="15">
        <v>500</v>
      </c>
      <c r="I71" s="15">
        <v>1000</v>
      </c>
      <c r="J71" s="15" t="str">
        <f>CONCATENATE("["&amp;Tableau1[[#This Row],[Min]]&amp;"; "&amp;Tableau1[[#This Row],[Max]]&amp;"]")</f>
        <v>[500; 1000]</v>
      </c>
      <c r="K71" s="40">
        <v>1000</v>
      </c>
      <c r="L71" s="46">
        <v>1000</v>
      </c>
      <c r="M71" s="18" t="s">
        <v>182</v>
      </c>
      <c r="N71" s="31"/>
      <c r="O71" s="35" t="s">
        <v>367</v>
      </c>
      <c r="P71" s="39"/>
      <c r="Q71" s="39"/>
    </row>
    <row r="72" spans="1:17" ht="60" x14ac:dyDescent="0.25">
      <c r="A72" s="4" t="s">
        <v>234</v>
      </c>
      <c r="B72" s="15">
        <f t="shared" si="7"/>
        <v>296</v>
      </c>
      <c r="C72" s="15" t="str">
        <f t="shared" si="4"/>
        <v>0x00000128</v>
      </c>
      <c r="D72" s="15">
        <v>4</v>
      </c>
      <c r="E72" s="16" t="s">
        <v>92</v>
      </c>
      <c r="F72" s="15" t="s">
        <v>285</v>
      </c>
      <c r="G72" s="17" t="s">
        <v>0</v>
      </c>
      <c r="H72" s="15">
        <v>0</v>
      </c>
      <c r="I72" s="15">
        <v>1</v>
      </c>
      <c r="J72" s="15" t="str">
        <f>CONCATENATE("["&amp;Tableau1[[#This Row],[Min]]&amp;"; "&amp;Tableau1[[#This Row],[Max]]&amp;"]")</f>
        <v>[0; 1]</v>
      </c>
      <c r="K72" s="40">
        <v>1</v>
      </c>
      <c r="L72" s="46">
        <v>1</v>
      </c>
      <c r="M72" s="18" t="s">
        <v>341</v>
      </c>
      <c r="N72" s="31"/>
      <c r="O72" s="30" t="s">
        <v>368</v>
      </c>
      <c r="P72" s="39"/>
      <c r="Q72" s="39"/>
    </row>
    <row r="73" spans="1:17" ht="105" x14ac:dyDescent="0.25">
      <c r="A73" s="4" t="s">
        <v>234</v>
      </c>
      <c r="B73" s="15">
        <f t="shared" si="7"/>
        <v>300</v>
      </c>
      <c r="C73" s="15" t="str">
        <f t="shared" ref="C73:C366" si="10">CONCATENATE("0x",DEC2HEX(B73,8))</f>
        <v>0x0000012C</v>
      </c>
      <c r="D73" s="15">
        <v>4</v>
      </c>
      <c r="E73" s="16" t="s">
        <v>93</v>
      </c>
      <c r="F73" s="15" t="s">
        <v>285</v>
      </c>
      <c r="G73" s="17" t="s">
        <v>0</v>
      </c>
      <c r="H73" s="15">
        <v>0</v>
      </c>
      <c r="I73" s="15">
        <v>5</v>
      </c>
      <c r="J73" s="15" t="str">
        <f>CONCATENATE("["&amp;Tableau1[[#This Row],[Min]]&amp;"; "&amp;Tableau1[[#This Row],[Max]]&amp;"]")</f>
        <v>[0; 5]</v>
      </c>
      <c r="K73" s="40">
        <v>4</v>
      </c>
      <c r="L73" s="46">
        <v>4</v>
      </c>
      <c r="M73" s="18" t="s">
        <v>328</v>
      </c>
      <c r="N73" s="37" t="s">
        <v>370</v>
      </c>
      <c r="O73" s="35" t="s">
        <v>369</v>
      </c>
      <c r="P73" s="39"/>
      <c r="Q73" s="39"/>
    </row>
    <row r="74" spans="1:17" ht="60" x14ac:dyDescent="0.25">
      <c r="A74" s="4" t="s">
        <v>234</v>
      </c>
      <c r="B74" s="15">
        <f t="shared" si="7"/>
        <v>304</v>
      </c>
      <c r="C74" s="15" t="str">
        <f t="shared" si="10"/>
        <v>0x00000130</v>
      </c>
      <c r="D74" s="15">
        <v>4</v>
      </c>
      <c r="E74" s="16" t="s">
        <v>94</v>
      </c>
      <c r="F74" s="15" t="s">
        <v>285</v>
      </c>
      <c r="G74" s="17" t="s">
        <v>0</v>
      </c>
      <c r="H74" s="15">
        <v>0</v>
      </c>
      <c r="I74" s="15">
        <v>2</v>
      </c>
      <c r="J74" s="15" t="str">
        <f>CONCATENATE("["&amp;Tableau1[[#This Row],[Min]]&amp;"; "&amp;Tableau1[[#This Row],[Max]]&amp;"]")</f>
        <v>[0; 2]</v>
      </c>
      <c r="K74" s="40">
        <v>2</v>
      </c>
      <c r="L74" s="46">
        <v>2</v>
      </c>
      <c r="M74" s="18" t="s">
        <v>171</v>
      </c>
      <c r="N74" s="31"/>
      <c r="O74" s="30" t="s">
        <v>371</v>
      </c>
      <c r="P74" s="39"/>
      <c r="Q74" s="39"/>
    </row>
    <row r="75" spans="1:17" ht="45" x14ac:dyDescent="0.25">
      <c r="A75" s="4" t="s">
        <v>234</v>
      </c>
      <c r="B75" s="15">
        <f t="shared" si="7"/>
        <v>308</v>
      </c>
      <c r="C75" s="15" t="str">
        <f t="shared" si="10"/>
        <v>0x00000134</v>
      </c>
      <c r="D75" s="15">
        <v>4</v>
      </c>
      <c r="E75" s="16" t="s">
        <v>95</v>
      </c>
      <c r="F75" s="15" t="s">
        <v>285</v>
      </c>
      <c r="G75" s="17" t="s">
        <v>0</v>
      </c>
      <c r="H75" s="15">
        <v>0</v>
      </c>
      <c r="I75" s="15">
        <v>1</v>
      </c>
      <c r="J75" s="15" t="str">
        <f>CONCATENATE("["&amp;Tableau1[[#This Row],[Min]]&amp;"; "&amp;Tableau1[[#This Row],[Max]]&amp;"]")</f>
        <v>[0; 1]</v>
      </c>
      <c r="K75" s="40">
        <v>0</v>
      </c>
      <c r="L75" s="46">
        <v>0</v>
      </c>
      <c r="M75" s="18" t="s">
        <v>172</v>
      </c>
      <c r="N75" s="31"/>
      <c r="O75" s="30" t="s">
        <v>371</v>
      </c>
      <c r="P75" s="39"/>
      <c r="Q75" s="39"/>
    </row>
    <row r="76" spans="1:17" ht="105" x14ac:dyDescent="0.25">
      <c r="A76" s="4" t="s">
        <v>234</v>
      </c>
      <c r="B76" s="15">
        <f t="shared" si="7"/>
        <v>312</v>
      </c>
      <c r="C76" s="15" t="str">
        <f t="shared" si="10"/>
        <v>0x00000138</v>
      </c>
      <c r="D76" s="15">
        <v>4</v>
      </c>
      <c r="E76" s="16" t="s">
        <v>96</v>
      </c>
      <c r="F76" s="15" t="s">
        <v>285</v>
      </c>
      <c r="G76" s="17" t="s">
        <v>0</v>
      </c>
      <c r="H76" s="15">
        <v>0</v>
      </c>
      <c r="I76" s="15">
        <v>5</v>
      </c>
      <c r="J76" s="15" t="str">
        <f>CONCATENATE("["&amp;Tableau1[[#This Row],[Min]]&amp;"; "&amp;Tableau1[[#This Row],[Max]]&amp;"]")</f>
        <v>[0; 5]</v>
      </c>
      <c r="K76" s="40">
        <v>4</v>
      </c>
      <c r="L76" s="46">
        <v>4</v>
      </c>
      <c r="M76" s="18" t="s">
        <v>329</v>
      </c>
      <c r="N76" s="31"/>
      <c r="O76" s="30" t="s">
        <v>372</v>
      </c>
      <c r="P76" s="39"/>
      <c r="Q76" s="39"/>
    </row>
    <row r="77" spans="1:17" ht="60" x14ac:dyDescent="0.25">
      <c r="A77" s="4" t="s">
        <v>234</v>
      </c>
      <c r="B77" s="15">
        <f t="shared" si="7"/>
        <v>316</v>
      </c>
      <c r="C77" s="15" t="str">
        <f t="shared" si="10"/>
        <v>0x0000013C</v>
      </c>
      <c r="D77" s="15">
        <v>4</v>
      </c>
      <c r="E77" s="16" t="s">
        <v>97</v>
      </c>
      <c r="F77" s="15" t="s">
        <v>285</v>
      </c>
      <c r="G77" s="17" t="s">
        <v>0</v>
      </c>
      <c r="H77" s="15">
        <v>0</v>
      </c>
      <c r="I77" s="15">
        <v>2</v>
      </c>
      <c r="J77" s="15" t="str">
        <f>CONCATENATE("["&amp;Tableau1[[#This Row],[Min]]&amp;"; "&amp;Tableau1[[#This Row],[Max]]&amp;"]")</f>
        <v>[0; 2]</v>
      </c>
      <c r="K77" s="40">
        <v>2</v>
      </c>
      <c r="L77" s="46">
        <v>2</v>
      </c>
      <c r="M77" s="18" t="s">
        <v>173</v>
      </c>
      <c r="N77" s="31"/>
      <c r="O77" s="30" t="s">
        <v>372</v>
      </c>
      <c r="P77" s="39"/>
      <c r="Q77" s="39"/>
    </row>
    <row r="78" spans="1:17" ht="45" x14ac:dyDescent="0.25">
      <c r="A78" s="4" t="s">
        <v>234</v>
      </c>
      <c r="B78" s="15">
        <f t="shared" si="7"/>
        <v>320</v>
      </c>
      <c r="C78" s="15" t="str">
        <f t="shared" si="10"/>
        <v>0x00000140</v>
      </c>
      <c r="D78" s="15">
        <v>4</v>
      </c>
      <c r="E78" s="16" t="s">
        <v>98</v>
      </c>
      <c r="F78" s="15" t="s">
        <v>285</v>
      </c>
      <c r="G78" s="17" t="s">
        <v>0</v>
      </c>
      <c r="H78" s="15">
        <v>0</v>
      </c>
      <c r="I78" s="15">
        <v>1</v>
      </c>
      <c r="J78" s="15" t="str">
        <f>CONCATENATE("["&amp;Tableau1[[#This Row],[Min]]&amp;"; "&amp;Tableau1[[#This Row],[Max]]&amp;"]")</f>
        <v>[0; 1]</v>
      </c>
      <c r="K78" s="40">
        <v>0</v>
      </c>
      <c r="L78" s="46">
        <v>0</v>
      </c>
      <c r="M78" s="18" t="s">
        <v>174</v>
      </c>
      <c r="N78" s="31"/>
      <c r="O78" s="30" t="s">
        <v>372</v>
      </c>
      <c r="P78" s="39"/>
      <c r="Q78" s="39"/>
    </row>
    <row r="79" spans="1:17" ht="45" x14ac:dyDescent="0.25">
      <c r="A79" s="4" t="s">
        <v>234</v>
      </c>
      <c r="B79" s="15">
        <f t="shared" si="7"/>
        <v>324</v>
      </c>
      <c r="C79" s="15" t="str">
        <f t="shared" si="10"/>
        <v>0x00000144</v>
      </c>
      <c r="D79" s="15">
        <v>4</v>
      </c>
      <c r="E79" s="16" t="s">
        <v>490</v>
      </c>
      <c r="F79" s="15" t="s">
        <v>285</v>
      </c>
      <c r="G79" s="17" t="s">
        <v>0</v>
      </c>
      <c r="H79" s="15">
        <v>0</v>
      </c>
      <c r="I79" s="15">
        <v>1</v>
      </c>
      <c r="J79" s="15" t="str">
        <f>CONCATENATE("["&amp;Tableau1[[#This Row],[Min]]&amp;"; "&amp;Tableau1[[#This Row],[Max]]&amp;"]")</f>
        <v>[0; 1]</v>
      </c>
      <c r="K79" s="40">
        <v>1</v>
      </c>
      <c r="L79" s="46">
        <v>1</v>
      </c>
      <c r="M79" s="18" t="s">
        <v>175</v>
      </c>
      <c r="N79" s="31" t="s">
        <v>374</v>
      </c>
      <c r="O79" s="30" t="s">
        <v>373</v>
      </c>
      <c r="P79" s="39"/>
      <c r="Q79" s="39"/>
    </row>
    <row r="80" spans="1:17" s="3" customFormat="1" ht="30" x14ac:dyDescent="0.25">
      <c r="A80" s="4" t="s">
        <v>234</v>
      </c>
      <c r="B80" s="15">
        <f t="shared" si="7"/>
        <v>328</v>
      </c>
      <c r="C80" s="15" t="str">
        <f t="shared" si="10"/>
        <v>0x00000148</v>
      </c>
      <c r="D80" s="15">
        <v>2</v>
      </c>
      <c r="E80" s="16" t="s">
        <v>491</v>
      </c>
      <c r="F80" s="15" t="s">
        <v>283</v>
      </c>
      <c r="G80" s="17" t="s">
        <v>0</v>
      </c>
      <c r="H80" s="15" t="s">
        <v>183</v>
      </c>
      <c r="I80" s="15" t="s">
        <v>183</v>
      </c>
      <c r="J80" s="15" t="s">
        <v>183</v>
      </c>
      <c r="K80" s="40" t="s">
        <v>411</v>
      </c>
      <c r="L80" s="46" t="s">
        <v>411</v>
      </c>
      <c r="M80" s="18" t="s">
        <v>275</v>
      </c>
      <c r="N80" s="31" t="s">
        <v>374</v>
      </c>
      <c r="O80" s="30" t="s">
        <v>373</v>
      </c>
      <c r="P80" s="39"/>
      <c r="Q80" s="39"/>
    </row>
    <row r="81" spans="1:17" s="3" customFormat="1" ht="30" x14ac:dyDescent="0.25">
      <c r="A81" s="4" t="s">
        <v>234</v>
      </c>
      <c r="B81" s="15">
        <f t="shared" si="7"/>
        <v>330</v>
      </c>
      <c r="C81" s="15" t="str">
        <f t="shared" ref="C81:C112" si="11">CONCATENATE("0x",DEC2HEX(B81,8))</f>
        <v>0x0000014A</v>
      </c>
      <c r="D81" s="15">
        <v>2</v>
      </c>
      <c r="E81" s="7" t="s">
        <v>492</v>
      </c>
      <c r="F81" s="15" t="s">
        <v>283</v>
      </c>
      <c r="G81" s="17" t="s">
        <v>0</v>
      </c>
      <c r="H81" s="15" t="s">
        <v>183</v>
      </c>
      <c r="I81" s="15" t="s">
        <v>183</v>
      </c>
      <c r="J81" s="15" t="s">
        <v>183</v>
      </c>
      <c r="K81" s="40" t="s">
        <v>445</v>
      </c>
      <c r="L81" s="46" t="s">
        <v>445</v>
      </c>
      <c r="M81" s="18" t="s">
        <v>275</v>
      </c>
      <c r="N81" s="31" t="s">
        <v>374</v>
      </c>
      <c r="O81" s="30" t="s">
        <v>373</v>
      </c>
      <c r="P81" s="39"/>
      <c r="Q81" s="39"/>
    </row>
    <row r="82" spans="1:17" s="3" customFormat="1" ht="30" x14ac:dyDescent="0.25">
      <c r="A82" s="4" t="s">
        <v>234</v>
      </c>
      <c r="B82" s="15">
        <f t="shared" si="7"/>
        <v>332</v>
      </c>
      <c r="C82" s="15" t="str">
        <f t="shared" si="11"/>
        <v>0x0000014C</v>
      </c>
      <c r="D82" s="15">
        <v>2</v>
      </c>
      <c r="E82" s="7" t="s">
        <v>493</v>
      </c>
      <c r="F82" s="15" t="s">
        <v>283</v>
      </c>
      <c r="G82" s="17" t="s">
        <v>0</v>
      </c>
      <c r="H82" s="15" t="s">
        <v>183</v>
      </c>
      <c r="I82" s="15" t="s">
        <v>183</v>
      </c>
      <c r="J82" s="15" t="s">
        <v>183</v>
      </c>
      <c r="K82" s="40" t="s">
        <v>446</v>
      </c>
      <c r="L82" s="46" t="s">
        <v>446</v>
      </c>
      <c r="M82" s="18" t="s">
        <v>275</v>
      </c>
      <c r="N82" s="31" t="s">
        <v>374</v>
      </c>
      <c r="O82" s="30" t="s">
        <v>373</v>
      </c>
      <c r="P82" s="39"/>
      <c r="Q82" s="39"/>
    </row>
    <row r="83" spans="1:17" s="3" customFormat="1" ht="30" x14ac:dyDescent="0.25">
      <c r="A83" s="4" t="s">
        <v>234</v>
      </c>
      <c r="B83" s="15">
        <f t="shared" si="7"/>
        <v>334</v>
      </c>
      <c r="C83" s="15" t="str">
        <f t="shared" si="11"/>
        <v>0x0000014E</v>
      </c>
      <c r="D83" s="15">
        <v>2</v>
      </c>
      <c r="E83" s="7" t="s">
        <v>494</v>
      </c>
      <c r="F83" s="15" t="s">
        <v>283</v>
      </c>
      <c r="G83" s="17" t="s">
        <v>0</v>
      </c>
      <c r="H83" s="15" t="s">
        <v>183</v>
      </c>
      <c r="I83" s="15" t="s">
        <v>183</v>
      </c>
      <c r="J83" s="15" t="s">
        <v>183</v>
      </c>
      <c r="K83" s="40" t="s">
        <v>447</v>
      </c>
      <c r="L83" s="46" t="s">
        <v>447</v>
      </c>
      <c r="M83" s="18" t="s">
        <v>275</v>
      </c>
      <c r="N83" s="31" t="s">
        <v>374</v>
      </c>
      <c r="O83" s="30" t="s">
        <v>373</v>
      </c>
      <c r="P83" s="39"/>
      <c r="Q83" s="39"/>
    </row>
    <row r="84" spans="1:17" s="3" customFormat="1" ht="30" x14ac:dyDescent="0.25">
      <c r="A84" s="4" t="s">
        <v>234</v>
      </c>
      <c r="B84" s="15">
        <f t="shared" si="7"/>
        <v>336</v>
      </c>
      <c r="C84" s="15" t="str">
        <f t="shared" si="11"/>
        <v>0x00000150</v>
      </c>
      <c r="D84" s="15">
        <v>2</v>
      </c>
      <c r="E84" s="7" t="s">
        <v>495</v>
      </c>
      <c r="F84" s="15" t="s">
        <v>283</v>
      </c>
      <c r="G84" s="17" t="s">
        <v>0</v>
      </c>
      <c r="H84" s="15" t="s">
        <v>183</v>
      </c>
      <c r="I84" s="15" t="s">
        <v>183</v>
      </c>
      <c r="J84" s="15" t="s">
        <v>183</v>
      </c>
      <c r="K84" s="40" t="s">
        <v>448</v>
      </c>
      <c r="L84" s="46" t="s">
        <v>448</v>
      </c>
      <c r="M84" s="18" t="s">
        <v>275</v>
      </c>
      <c r="N84" s="31" t="s">
        <v>374</v>
      </c>
      <c r="O84" s="30" t="s">
        <v>373</v>
      </c>
      <c r="P84" s="39"/>
      <c r="Q84" s="39"/>
    </row>
    <row r="85" spans="1:17" s="3" customFormat="1" ht="30" x14ac:dyDescent="0.25">
      <c r="A85" s="4" t="s">
        <v>234</v>
      </c>
      <c r="B85" s="15">
        <f t="shared" si="7"/>
        <v>338</v>
      </c>
      <c r="C85" s="15" t="str">
        <f t="shared" si="11"/>
        <v>0x00000152</v>
      </c>
      <c r="D85" s="15">
        <v>2</v>
      </c>
      <c r="E85" s="7" t="s">
        <v>496</v>
      </c>
      <c r="F85" s="15" t="s">
        <v>283</v>
      </c>
      <c r="G85" s="17" t="s">
        <v>0</v>
      </c>
      <c r="H85" s="15" t="s">
        <v>183</v>
      </c>
      <c r="I85" s="15" t="s">
        <v>183</v>
      </c>
      <c r="J85" s="15" t="s">
        <v>183</v>
      </c>
      <c r="K85" s="40" t="s">
        <v>449</v>
      </c>
      <c r="L85" s="46" t="s">
        <v>449</v>
      </c>
      <c r="M85" s="18" t="s">
        <v>275</v>
      </c>
      <c r="N85" s="31" t="s">
        <v>374</v>
      </c>
      <c r="O85" s="30" t="s">
        <v>373</v>
      </c>
      <c r="P85" s="39"/>
      <c r="Q85" s="39"/>
    </row>
    <row r="86" spans="1:17" s="3" customFormat="1" ht="30" x14ac:dyDescent="0.25">
      <c r="A86" s="4" t="s">
        <v>234</v>
      </c>
      <c r="B86" s="15">
        <f t="shared" si="7"/>
        <v>340</v>
      </c>
      <c r="C86" s="15" t="str">
        <f t="shared" si="11"/>
        <v>0x00000154</v>
      </c>
      <c r="D86" s="15">
        <v>2</v>
      </c>
      <c r="E86" s="7" t="s">
        <v>497</v>
      </c>
      <c r="F86" s="15" t="s">
        <v>283</v>
      </c>
      <c r="G86" s="17" t="s">
        <v>0</v>
      </c>
      <c r="H86" s="15" t="s">
        <v>183</v>
      </c>
      <c r="I86" s="15" t="s">
        <v>183</v>
      </c>
      <c r="J86" s="15" t="s">
        <v>183</v>
      </c>
      <c r="K86" s="40" t="s">
        <v>450</v>
      </c>
      <c r="L86" s="46" t="s">
        <v>450</v>
      </c>
      <c r="M86" s="18" t="s">
        <v>275</v>
      </c>
      <c r="N86" s="31" t="s">
        <v>374</v>
      </c>
      <c r="O86" s="30" t="s">
        <v>373</v>
      </c>
      <c r="P86" s="39"/>
      <c r="Q86" s="39"/>
    </row>
    <row r="87" spans="1:17" s="3" customFormat="1" ht="30" x14ac:dyDescent="0.25">
      <c r="A87" s="4" t="s">
        <v>234</v>
      </c>
      <c r="B87" s="15">
        <f t="shared" si="7"/>
        <v>342</v>
      </c>
      <c r="C87" s="15" t="str">
        <f t="shared" si="11"/>
        <v>0x00000156</v>
      </c>
      <c r="D87" s="15">
        <v>2</v>
      </c>
      <c r="E87" s="7" t="s">
        <v>498</v>
      </c>
      <c r="F87" s="15" t="s">
        <v>283</v>
      </c>
      <c r="G87" s="17" t="s">
        <v>0</v>
      </c>
      <c r="H87" s="15" t="s">
        <v>183</v>
      </c>
      <c r="I87" s="15" t="s">
        <v>183</v>
      </c>
      <c r="J87" s="15" t="s">
        <v>183</v>
      </c>
      <c r="K87" s="40" t="s">
        <v>451</v>
      </c>
      <c r="L87" s="46" t="s">
        <v>451</v>
      </c>
      <c r="M87" s="18" t="s">
        <v>275</v>
      </c>
      <c r="N87" s="31" t="s">
        <v>374</v>
      </c>
      <c r="O87" s="30" t="s">
        <v>373</v>
      </c>
      <c r="P87" s="39"/>
      <c r="Q87" s="39"/>
    </row>
    <row r="88" spans="1:17" s="3" customFormat="1" ht="30" x14ac:dyDescent="0.25">
      <c r="A88" s="4" t="s">
        <v>234</v>
      </c>
      <c r="B88" s="15">
        <f t="shared" si="7"/>
        <v>344</v>
      </c>
      <c r="C88" s="15" t="str">
        <f t="shared" si="11"/>
        <v>0x00000158</v>
      </c>
      <c r="D88" s="15">
        <v>2</v>
      </c>
      <c r="E88" s="7" t="s">
        <v>499</v>
      </c>
      <c r="F88" s="15" t="s">
        <v>283</v>
      </c>
      <c r="G88" s="17" t="s">
        <v>0</v>
      </c>
      <c r="H88" s="15" t="s">
        <v>183</v>
      </c>
      <c r="I88" s="15" t="s">
        <v>183</v>
      </c>
      <c r="J88" s="15" t="s">
        <v>183</v>
      </c>
      <c r="K88" s="40" t="s">
        <v>452</v>
      </c>
      <c r="L88" s="46" t="s">
        <v>452</v>
      </c>
      <c r="M88" s="18" t="s">
        <v>275</v>
      </c>
      <c r="N88" s="31" t="s">
        <v>374</v>
      </c>
      <c r="O88" s="30" t="s">
        <v>373</v>
      </c>
      <c r="P88" s="39"/>
      <c r="Q88" s="39"/>
    </row>
    <row r="89" spans="1:17" s="3" customFormat="1" ht="30" x14ac:dyDescent="0.25">
      <c r="A89" s="4" t="s">
        <v>234</v>
      </c>
      <c r="B89" s="15">
        <f t="shared" si="7"/>
        <v>346</v>
      </c>
      <c r="C89" s="15" t="str">
        <f t="shared" si="11"/>
        <v>0x0000015A</v>
      </c>
      <c r="D89" s="15">
        <v>2</v>
      </c>
      <c r="E89" s="7" t="s">
        <v>500</v>
      </c>
      <c r="F89" s="15" t="s">
        <v>283</v>
      </c>
      <c r="G89" s="17" t="s">
        <v>0</v>
      </c>
      <c r="H89" s="15" t="s">
        <v>183</v>
      </c>
      <c r="I89" s="15" t="s">
        <v>183</v>
      </c>
      <c r="J89" s="15" t="s">
        <v>183</v>
      </c>
      <c r="K89" s="40" t="s">
        <v>453</v>
      </c>
      <c r="L89" s="46" t="s">
        <v>453</v>
      </c>
      <c r="M89" s="18" t="s">
        <v>275</v>
      </c>
      <c r="N89" s="31" t="s">
        <v>374</v>
      </c>
      <c r="O89" s="30" t="s">
        <v>373</v>
      </c>
      <c r="P89" s="39"/>
      <c r="Q89" s="39"/>
    </row>
    <row r="90" spans="1:17" s="3" customFormat="1" ht="30" x14ac:dyDescent="0.25">
      <c r="A90" s="4" t="s">
        <v>234</v>
      </c>
      <c r="B90" s="15">
        <f t="shared" si="7"/>
        <v>348</v>
      </c>
      <c r="C90" s="15" t="str">
        <f t="shared" si="11"/>
        <v>0x0000015C</v>
      </c>
      <c r="D90" s="15">
        <v>2</v>
      </c>
      <c r="E90" s="7" t="s">
        <v>501</v>
      </c>
      <c r="F90" s="15" t="s">
        <v>283</v>
      </c>
      <c r="G90" s="17" t="s">
        <v>0</v>
      </c>
      <c r="H90" s="15" t="s">
        <v>183</v>
      </c>
      <c r="I90" s="15" t="s">
        <v>183</v>
      </c>
      <c r="J90" s="15" t="s">
        <v>183</v>
      </c>
      <c r="K90" s="40" t="s">
        <v>454</v>
      </c>
      <c r="L90" s="46" t="s">
        <v>454</v>
      </c>
      <c r="M90" s="18" t="s">
        <v>275</v>
      </c>
      <c r="N90" s="31" t="s">
        <v>374</v>
      </c>
      <c r="O90" s="30" t="s">
        <v>373</v>
      </c>
      <c r="P90" s="39"/>
      <c r="Q90" s="39"/>
    </row>
    <row r="91" spans="1:17" s="3" customFormat="1" ht="30" x14ac:dyDescent="0.25">
      <c r="A91" s="4" t="s">
        <v>234</v>
      </c>
      <c r="B91" s="15">
        <f t="shared" si="7"/>
        <v>350</v>
      </c>
      <c r="C91" s="15" t="str">
        <f t="shared" si="11"/>
        <v>0x0000015E</v>
      </c>
      <c r="D91" s="15">
        <v>2</v>
      </c>
      <c r="E91" s="7" t="s">
        <v>502</v>
      </c>
      <c r="F91" s="15" t="s">
        <v>283</v>
      </c>
      <c r="G91" s="17" t="s">
        <v>0</v>
      </c>
      <c r="H91" s="15" t="s">
        <v>183</v>
      </c>
      <c r="I91" s="15" t="s">
        <v>183</v>
      </c>
      <c r="J91" s="15" t="s">
        <v>183</v>
      </c>
      <c r="K91" s="40" t="s">
        <v>455</v>
      </c>
      <c r="L91" s="46" t="s">
        <v>455</v>
      </c>
      <c r="M91" s="18" t="s">
        <v>275</v>
      </c>
      <c r="N91" s="31" t="s">
        <v>374</v>
      </c>
      <c r="O91" s="30" t="s">
        <v>373</v>
      </c>
      <c r="P91" s="39"/>
      <c r="Q91" s="39"/>
    </row>
    <row r="92" spans="1:17" s="3" customFormat="1" ht="30" x14ac:dyDescent="0.25">
      <c r="A92" s="4" t="s">
        <v>234</v>
      </c>
      <c r="B92" s="15">
        <f t="shared" si="7"/>
        <v>352</v>
      </c>
      <c r="C92" s="15" t="str">
        <f t="shared" si="11"/>
        <v>0x00000160</v>
      </c>
      <c r="D92" s="15">
        <v>2</v>
      </c>
      <c r="E92" s="7" t="s">
        <v>503</v>
      </c>
      <c r="F92" s="15" t="s">
        <v>283</v>
      </c>
      <c r="G92" s="17" t="s">
        <v>0</v>
      </c>
      <c r="H92" s="15" t="s">
        <v>183</v>
      </c>
      <c r="I92" s="15" t="s">
        <v>183</v>
      </c>
      <c r="J92" s="15" t="s">
        <v>183</v>
      </c>
      <c r="K92" s="40" t="s">
        <v>456</v>
      </c>
      <c r="L92" s="46" t="s">
        <v>456</v>
      </c>
      <c r="M92" s="18" t="s">
        <v>275</v>
      </c>
      <c r="N92" s="31" t="s">
        <v>374</v>
      </c>
      <c r="O92" s="30" t="s">
        <v>373</v>
      </c>
      <c r="P92" s="39"/>
      <c r="Q92" s="39"/>
    </row>
    <row r="93" spans="1:17" s="3" customFormat="1" ht="30" x14ac:dyDescent="0.25">
      <c r="A93" s="4" t="s">
        <v>234</v>
      </c>
      <c r="B93" s="15">
        <f t="shared" si="7"/>
        <v>354</v>
      </c>
      <c r="C93" s="15" t="str">
        <f t="shared" si="11"/>
        <v>0x00000162</v>
      </c>
      <c r="D93" s="15">
        <v>2</v>
      </c>
      <c r="E93" s="7" t="s">
        <v>504</v>
      </c>
      <c r="F93" s="15" t="s">
        <v>283</v>
      </c>
      <c r="G93" s="17" t="s">
        <v>0</v>
      </c>
      <c r="H93" s="15" t="s">
        <v>183</v>
      </c>
      <c r="I93" s="15" t="s">
        <v>183</v>
      </c>
      <c r="J93" s="15" t="s">
        <v>183</v>
      </c>
      <c r="K93" s="40" t="s">
        <v>457</v>
      </c>
      <c r="L93" s="46" t="s">
        <v>457</v>
      </c>
      <c r="M93" s="18" t="s">
        <v>275</v>
      </c>
      <c r="N93" s="31" t="s">
        <v>374</v>
      </c>
      <c r="O93" s="30" t="s">
        <v>373</v>
      </c>
      <c r="P93" s="39"/>
      <c r="Q93" s="39"/>
    </row>
    <row r="94" spans="1:17" s="3" customFormat="1" ht="30" x14ac:dyDescent="0.25">
      <c r="A94" s="4" t="s">
        <v>234</v>
      </c>
      <c r="B94" s="15">
        <f t="shared" si="7"/>
        <v>356</v>
      </c>
      <c r="C94" s="15" t="str">
        <f t="shared" si="11"/>
        <v>0x00000164</v>
      </c>
      <c r="D94" s="15">
        <v>2</v>
      </c>
      <c r="E94" s="7" t="s">
        <v>505</v>
      </c>
      <c r="F94" s="15" t="s">
        <v>283</v>
      </c>
      <c r="G94" s="17" t="s">
        <v>0</v>
      </c>
      <c r="H94" s="15" t="s">
        <v>183</v>
      </c>
      <c r="I94" s="15" t="s">
        <v>183</v>
      </c>
      <c r="J94" s="15" t="s">
        <v>183</v>
      </c>
      <c r="K94" s="40" t="s">
        <v>458</v>
      </c>
      <c r="L94" s="46" t="s">
        <v>458</v>
      </c>
      <c r="M94" s="18" t="s">
        <v>275</v>
      </c>
      <c r="N94" s="31" t="s">
        <v>374</v>
      </c>
      <c r="O94" s="30" t="s">
        <v>373</v>
      </c>
      <c r="P94" s="39"/>
      <c r="Q94" s="39"/>
    </row>
    <row r="95" spans="1:17" s="3" customFormat="1" ht="30" x14ac:dyDescent="0.25">
      <c r="A95" s="4" t="s">
        <v>234</v>
      </c>
      <c r="B95" s="15">
        <f t="shared" si="7"/>
        <v>358</v>
      </c>
      <c r="C95" s="15" t="str">
        <f t="shared" si="11"/>
        <v>0x00000166</v>
      </c>
      <c r="D95" s="15">
        <v>2</v>
      </c>
      <c r="E95" s="7" t="s">
        <v>506</v>
      </c>
      <c r="F95" s="15" t="s">
        <v>283</v>
      </c>
      <c r="G95" s="17" t="s">
        <v>0</v>
      </c>
      <c r="H95" s="15" t="s">
        <v>183</v>
      </c>
      <c r="I95" s="15" t="s">
        <v>183</v>
      </c>
      <c r="J95" s="15" t="s">
        <v>183</v>
      </c>
      <c r="K95" s="40" t="s">
        <v>459</v>
      </c>
      <c r="L95" s="46" t="s">
        <v>459</v>
      </c>
      <c r="M95" s="18" t="s">
        <v>275</v>
      </c>
      <c r="N95" s="31" t="s">
        <v>374</v>
      </c>
      <c r="O95" s="30" t="s">
        <v>373</v>
      </c>
      <c r="P95" s="39"/>
      <c r="Q95" s="39"/>
    </row>
    <row r="96" spans="1:17" s="3" customFormat="1" ht="30" x14ac:dyDescent="0.25">
      <c r="A96" s="4" t="s">
        <v>234</v>
      </c>
      <c r="B96" s="15">
        <f t="shared" si="7"/>
        <v>360</v>
      </c>
      <c r="C96" s="15" t="str">
        <f t="shared" si="11"/>
        <v>0x00000168</v>
      </c>
      <c r="D96" s="15">
        <v>2</v>
      </c>
      <c r="E96" s="7" t="s">
        <v>507</v>
      </c>
      <c r="F96" s="15" t="s">
        <v>283</v>
      </c>
      <c r="G96" s="17" t="s">
        <v>0</v>
      </c>
      <c r="H96" s="15" t="s">
        <v>183</v>
      </c>
      <c r="I96" s="15" t="s">
        <v>183</v>
      </c>
      <c r="J96" s="15" t="s">
        <v>183</v>
      </c>
      <c r="K96" s="40" t="s">
        <v>460</v>
      </c>
      <c r="L96" s="46" t="s">
        <v>460</v>
      </c>
      <c r="M96" s="18" t="s">
        <v>275</v>
      </c>
      <c r="N96" s="31" t="s">
        <v>374</v>
      </c>
      <c r="O96" s="30" t="s">
        <v>373</v>
      </c>
      <c r="P96" s="39"/>
      <c r="Q96" s="39"/>
    </row>
    <row r="97" spans="1:17" s="3" customFormat="1" ht="30" x14ac:dyDescent="0.25">
      <c r="A97" s="4" t="s">
        <v>234</v>
      </c>
      <c r="B97" s="15">
        <f t="shared" si="7"/>
        <v>362</v>
      </c>
      <c r="C97" s="15" t="str">
        <f t="shared" si="11"/>
        <v>0x0000016A</v>
      </c>
      <c r="D97" s="15">
        <v>2</v>
      </c>
      <c r="E97" s="7" t="s">
        <v>508</v>
      </c>
      <c r="F97" s="15" t="s">
        <v>283</v>
      </c>
      <c r="G97" s="17" t="s">
        <v>0</v>
      </c>
      <c r="H97" s="15" t="s">
        <v>183</v>
      </c>
      <c r="I97" s="15" t="s">
        <v>183</v>
      </c>
      <c r="J97" s="15" t="s">
        <v>183</v>
      </c>
      <c r="K97" s="40" t="s">
        <v>461</v>
      </c>
      <c r="L97" s="46" t="s">
        <v>461</v>
      </c>
      <c r="M97" s="18" t="s">
        <v>275</v>
      </c>
      <c r="N97" s="31" t="s">
        <v>374</v>
      </c>
      <c r="O97" s="30" t="s">
        <v>373</v>
      </c>
      <c r="P97" s="39"/>
      <c r="Q97" s="39"/>
    </row>
    <row r="98" spans="1:17" s="3" customFormat="1" ht="30" x14ac:dyDescent="0.25">
      <c r="A98" s="4" t="s">
        <v>234</v>
      </c>
      <c r="B98" s="15">
        <f t="shared" si="7"/>
        <v>364</v>
      </c>
      <c r="C98" s="15" t="str">
        <f t="shared" si="11"/>
        <v>0x0000016C</v>
      </c>
      <c r="D98" s="15">
        <v>2</v>
      </c>
      <c r="E98" s="7" t="s">
        <v>509</v>
      </c>
      <c r="F98" s="15" t="s">
        <v>283</v>
      </c>
      <c r="G98" s="17" t="s">
        <v>0</v>
      </c>
      <c r="H98" s="15" t="s">
        <v>183</v>
      </c>
      <c r="I98" s="15" t="s">
        <v>183</v>
      </c>
      <c r="J98" s="15" t="s">
        <v>183</v>
      </c>
      <c r="K98" s="40" t="s">
        <v>462</v>
      </c>
      <c r="L98" s="46" t="s">
        <v>462</v>
      </c>
      <c r="M98" s="18" t="s">
        <v>275</v>
      </c>
      <c r="N98" s="31" t="s">
        <v>374</v>
      </c>
      <c r="O98" s="30" t="s">
        <v>373</v>
      </c>
      <c r="P98" s="39"/>
      <c r="Q98" s="39"/>
    </row>
    <row r="99" spans="1:17" s="3" customFormat="1" ht="30" x14ac:dyDescent="0.25">
      <c r="A99" s="4" t="s">
        <v>234</v>
      </c>
      <c r="B99" s="15">
        <f t="shared" si="7"/>
        <v>366</v>
      </c>
      <c r="C99" s="15" t="str">
        <f t="shared" si="11"/>
        <v>0x0000016E</v>
      </c>
      <c r="D99" s="15">
        <v>2</v>
      </c>
      <c r="E99" s="7" t="s">
        <v>510</v>
      </c>
      <c r="F99" s="15" t="s">
        <v>283</v>
      </c>
      <c r="G99" s="17" t="s">
        <v>0</v>
      </c>
      <c r="H99" s="15" t="s">
        <v>183</v>
      </c>
      <c r="I99" s="15" t="s">
        <v>183</v>
      </c>
      <c r="J99" s="15" t="s">
        <v>183</v>
      </c>
      <c r="K99" s="40" t="s">
        <v>463</v>
      </c>
      <c r="L99" s="46" t="s">
        <v>463</v>
      </c>
      <c r="M99" s="18" t="s">
        <v>275</v>
      </c>
      <c r="N99" s="31" t="s">
        <v>374</v>
      </c>
      <c r="O99" s="30" t="s">
        <v>373</v>
      </c>
      <c r="P99" s="39"/>
      <c r="Q99" s="39"/>
    </row>
    <row r="100" spans="1:17" s="3" customFormat="1" ht="30" x14ac:dyDescent="0.25">
      <c r="A100" s="4" t="s">
        <v>234</v>
      </c>
      <c r="B100" s="15">
        <f t="shared" si="7"/>
        <v>368</v>
      </c>
      <c r="C100" s="15" t="str">
        <f t="shared" si="11"/>
        <v>0x00000170</v>
      </c>
      <c r="D100" s="15">
        <v>2</v>
      </c>
      <c r="E100" s="7" t="s">
        <v>511</v>
      </c>
      <c r="F100" s="15" t="s">
        <v>283</v>
      </c>
      <c r="G100" s="17" t="s">
        <v>0</v>
      </c>
      <c r="H100" s="15" t="s">
        <v>183</v>
      </c>
      <c r="I100" s="15" t="s">
        <v>183</v>
      </c>
      <c r="J100" s="15" t="s">
        <v>183</v>
      </c>
      <c r="K100" s="40" t="s">
        <v>464</v>
      </c>
      <c r="L100" s="46" t="s">
        <v>464</v>
      </c>
      <c r="M100" s="18" t="s">
        <v>275</v>
      </c>
      <c r="N100" s="31" t="s">
        <v>374</v>
      </c>
      <c r="O100" s="30" t="s">
        <v>373</v>
      </c>
      <c r="P100" s="39"/>
      <c r="Q100" s="39"/>
    </row>
    <row r="101" spans="1:17" s="3" customFormat="1" ht="30" x14ac:dyDescent="0.25">
      <c r="A101" s="4" t="s">
        <v>234</v>
      </c>
      <c r="B101" s="15">
        <f t="shared" si="7"/>
        <v>370</v>
      </c>
      <c r="C101" s="15" t="str">
        <f t="shared" si="11"/>
        <v>0x00000172</v>
      </c>
      <c r="D101" s="15">
        <v>2</v>
      </c>
      <c r="E101" s="7" t="s">
        <v>512</v>
      </c>
      <c r="F101" s="15" t="s">
        <v>283</v>
      </c>
      <c r="G101" s="17" t="s">
        <v>0</v>
      </c>
      <c r="H101" s="15" t="s">
        <v>183</v>
      </c>
      <c r="I101" s="15" t="s">
        <v>183</v>
      </c>
      <c r="J101" s="15" t="s">
        <v>183</v>
      </c>
      <c r="K101" s="40" t="s">
        <v>465</v>
      </c>
      <c r="L101" s="46" t="s">
        <v>465</v>
      </c>
      <c r="M101" s="18" t="s">
        <v>275</v>
      </c>
      <c r="N101" s="31" t="s">
        <v>374</v>
      </c>
      <c r="O101" s="30" t="s">
        <v>373</v>
      </c>
      <c r="P101" s="39"/>
      <c r="Q101" s="39"/>
    </row>
    <row r="102" spans="1:17" s="3" customFormat="1" ht="30" x14ac:dyDescent="0.25">
      <c r="A102" s="4" t="s">
        <v>234</v>
      </c>
      <c r="B102" s="15">
        <f t="shared" si="7"/>
        <v>372</v>
      </c>
      <c r="C102" s="15" t="str">
        <f t="shared" si="11"/>
        <v>0x00000174</v>
      </c>
      <c r="D102" s="15">
        <v>2</v>
      </c>
      <c r="E102" s="7" t="s">
        <v>513</v>
      </c>
      <c r="F102" s="15" t="s">
        <v>283</v>
      </c>
      <c r="G102" s="17" t="s">
        <v>0</v>
      </c>
      <c r="H102" s="15" t="s">
        <v>183</v>
      </c>
      <c r="I102" s="15" t="s">
        <v>183</v>
      </c>
      <c r="J102" s="15" t="s">
        <v>183</v>
      </c>
      <c r="K102" s="40" t="s">
        <v>466</v>
      </c>
      <c r="L102" s="46" t="s">
        <v>466</v>
      </c>
      <c r="M102" s="18" t="s">
        <v>275</v>
      </c>
      <c r="N102" s="31" t="s">
        <v>374</v>
      </c>
      <c r="O102" s="30" t="s">
        <v>373</v>
      </c>
      <c r="P102" s="39"/>
      <c r="Q102" s="39"/>
    </row>
    <row r="103" spans="1:17" s="3" customFormat="1" ht="30" x14ac:dyDescent="0.25">
      <c r="A103" s="4" t="s">
        <v>234</v>
      </c>
      <c r="B103" s="15">
        <f t="shared" si="7"/>
        <v>374</v>
      </c>
      <c r="C103" s="15" t="str">
        <f t="shared" si="11"/>
        <v>0x00000176</v>
      </c>
      <c r="D103" s="15">
        <v>2</v>
      </c>
      <c r="E103" s="7" t="s">
        <v>514</v>
      </c>
      <c r="F103" s="15" t="s">
        <v>283</v>
      </c>
      <c r="G103" s="17" t="s">
        <v>0</v>
      </c>
      <c r="H103" s="15" t="s">
        <v>183</v>
      </c>
      <c r="I103" s="15" t="s">
        <v>183</v>
      </c>
      <c r="J103" s="15" t="s">
        <v>183</v>
      </c>
      <c r="K103" s="40" t="s">
        <v>467</v>
      </c>
      <c r="L103" s="46" t="s">
        <v>467</v>
      </c>
      <c r="M103" s="18" t="s">
        <v>275</v>
      </c>
      <c r="N103" s="31" t="s">
        <v>374</v>
      </c>
      <c r="O103" s="30" t="s">
        <v>373</v>
      </c>
      <c r="P103" s="39"/>
      <c r="Q103" s="39"/>
    </row>
    <row r="104" spans="1:17" s="3" customFormat="1" ht="30" x14ac:dyDescent="0.25">
      <c r="A104" s="4" t="s">
        <v>234</v>
      </c>
      <c r="B104" s="15">
        <f t="shared" si="7"/>
        <v>376</v>
      </c>
      <c r="C104" s="15" t="str">
        <f t="shared" si="11"/>
        <v>0x00000178</v>
      </c>
      <c r="D104" s="15">
        <v>2</v>
      </c>
      <c r="E104" s="7" t="s">
        <v>515</v>
      </c>
      <c r="F104" s="15" t="s">
        <v>283</v>
      </c>
      <c r="G104" s="17" t="s">
        <v>0</v>
      </c>
      <c r="H104" s="15" t="s">
        <v>183</v>
      </c>
      <c r="I104" s="15" t="s">
        <v>183</v>
      </c>
      <c r="J104" s="15" t="s">
        <v>183</v>
      </c>
      <c r="K104" s="40" t="s">
        <v>468</v>
      </c>
      <c r="L104" s="46" t="s">
        <v>468</v>
      </c>
      <c r="M104" s="18" t="s">
        <v>275</v>
      </c>
      <c r="N104" s="31" t="s">
        <v>374</v>
      </c>
      <c r="O104" s="30" t="s">
        <v>373</v>
      </c>
      <c r="P104" s="39"/>
      <c r="Q104" s="39"/>
    </row>
    <row r="105" spans="1:17" s="3" customFormat="1" ht="30" x14ac:dyDescent="0.25">
      <c r="A105" s="4" t="s">
        <v>234</v>
      </c>
      <c r="B105" s="15">
        <f t="shared" si="7"/>
        <v>378</v>
      </c>
      <c r="C105" s="15" t="str">
        <f t="shared" si="11"/>
        <v>0x0000017A</v>
      </c>
      <c r="D105" s="15">
        <v>2</v>
      </c>
      <c r="E105" s="7" t="s">
        <v>516</v>
      </c>
      <c r="F105" s="15" t="s">
        <v>283</v>
      </c>
      <c r="G105" s="17" t="s">
        <v>0</v>
      </c>
      <c r="H105" s="15" t="s">
        <v>183</v>
      </c>
      <c r="I105" s="15" t="s">
        <v>183</v>
      </c>
      <c r="J105" s="15" t="s">
        <v>183</v>
      </c>
      <c r="K105" s="40" t="s">
        <v>469</v>
      </c>
      <c r="L105" s="46" t="s">
        <v>469</v>
      </c>
      <c r="M105" s="18" t="s">
        <v>275</v>
      </c>
      <c r="N105" s="31" t="s">
        <v>374</v>
      </c>
      <c r="O105" s="30" t="s">
        <v>373</v>
      </c>
      <c r="P105" s="39"/>
      <c r="Q105" s="39"/>
    </row>
    <row r="106" spans="1:17" s="3" customFormat="1" ht="30" x14ac:dyDescent="0.25">
      <c r="A106" s="4" t="s">
        <v>234</v>
      </c>
      <c r="B106" s="15">
        <f t="shared" si="7"/>
        <v>380</v>
      </c>
      <c r="C106" s="15" t="str">
        <f t="shared" si="11"/>
        <v>0x0000017C</v>
      </c>
      <c r="D106" s="15">
        <v>2</v>
      </c>
      <c r="E106" s="7" t="s">
        <v>517</v>
      </c>
      <c r="F106" s="15" t="s">
        <v>283</v>
      </c>
      <c r="G106" s="17" t="s">
        <v>0</v>
      </c>
      <c r="H106" s="15" t="s">
        <v>183</v>
      </c>
      <c r="I106" s="15" t="s">
        <v>183</v>
      </c>
      <c r="J106" s="15" t="s">
        <v>183</v>
      </c>
      <c r="K106" s="40" t="s">
        <v>470</v>
      </c>
      <c r="L106" s="46" t="s">
        <v>470</v>
      </c>
      <c r="M106" s="18" t="s">
        <v>275</v>
      </c>
      <c r="N106" s="31" t="s">
        <v>374</v>
      </c>
      <c r="O106" s="30" t="s">
        <v>373</v>
      </c>
      <c r="P106" s="39"/>
      <c r="Q106" s="39"/>
    </row>
    <row r="107" spans="1:17" s="3" customFormat="1" ht="30" x14ac:dyDescent="0.25">
      <c r="A107" s="4" t="s">
        <v>234</v>
      </c>
      <c r="B107" s="15">
        <f t="shared" si="7"/>
        <v>382</v>
      </c>
      <c r="C107" s="15" t="str">
        <f t="shared" si="11"/>
        <v>0x0000017E</v>
      </c>
      <c r="D107" s="15">
        <v>2</v>
      </c>
      <c r="E107" s="7" t="s">
        <v>518</v>
      </c>
      <c r="F107" s="15" t="s">
        <v>283</v>
      </c>
      <c r="G107" s="17" t="s">
        <v>0</v>
      </c>
      <c r="H107" s="15" t="s">
        <v>183</v>
      </c>
      <c r="I107" s="15" t="s">
        <v>183</v>
      </c>
      <c r="J107" s="15" t="s">
        <v>183</v>
      </c>
      <c r="K107" s="40" t="s">
        <v>471</v>
      </c>
      <c r="L107" s="46" t="s">
        <v>471</v>
      </c>
      <c r="M107" s="18" t="s">
        <v>275</v>
      </c>
      <c r="N107" s="31" t="s">
        <v>374</v>
      </c>
      <c r="O107" s="30" t="s">
        <v>373</v>
      </c>
      <c r="P107" s="39"/>
      <c r="Q107" s="39"/>
    </row>
    <row r="108" spans="1:17" s="3" customFormat="1" ht="30" x14ac:dyDescent="0.25">
      <c r="A108" s="4" t="s">
        <v>234</v>
      </c>
      <c r="B108" s="15">
        <f t="shared" si="7"/>
        <v>384</v>
      </c>
      <c r="C108" s="15" t="str">
        <f t="shared" si="11"/>
        <v>0x00000180</v>
      </c>
      <c r="D108" s="15">
        <v>2</v>
      </c>
      <c r="E108" s="7" t="s">
        <v>519</v>
      </c>
      <c r="F108" s="15" t="s">
        <v>283</v>
      </c>
      <c r="G108" s="17" t="s">
        <v>0</v>
      </c>
      <c r="H108" s="15" t="s">
        <v>183</v>
      </c>
      <c r="I108" s="15" t="s">
        <v>183</v>
      </c>
      <c r="J108" s="15" t="s">
        <v>183</v>
      </c>
      <c r="K108" s="40" t="s">
        <v>472</v>
      </c>
      <c r="L108" s="46" t="s">
        <v>472</v>
      </c>
      <c r="M108" s="18" t="s">
        <v>275</v>
      </c>
      <c r="N108" s="31" t="s">
        <v>374</v>
      </c>
      <c r="O108" s="30" t="s">
        <v>373</v>
      </c>
      <c r="P108" s="39"/>
      <c r="Q108" s="39"/>
    </row>
    <row r="109" spans="1:17" s="3" customFormat="1" ht="30" x14ac:dyDescent="0.25">
      <c r="A109" s="4" t="s">
        <v>234</v>
      </c>
      <c r="B109" s="15">
        <f t="shared" si="7"/>
        <v>386</v>
      </c>
      <c r="C109" s="15" t="str">
        <f t="shared" si="11"/>
        <v>0x00000182</v>
      </c>
      <c r="D109" s="15">
        <v>2</v>
      </c>
      <c r="E109" s="7" t="s">
        <v>520</v>
      </c>
      <c r="F109" s="15" t="s">
        <v>283</v>
      </c>
      <c r="G109" s="17" t="s">
        <v>0</v>
      </c>
      <c r="H109" s="15" t="s">
        <v>183</v>
      </c>
      <c r="I109" s="15" t="s">
        <v>183</v>
      </c>
      <c r="J109" s="15" t="s">
        <v>183</v>
      </c>
      <c r="K109" s="40" t="s">
        <v>473</v>
      </c>
      <c r="L109" s="46" t="s">
        <v>473</v>
      </c>
      <c r="M109" s="18" t="s">
        <v>275</v>
      </c>
      <c r="N109" s="31" t="s">
        <v>374</v>
      </c>
      <c r="O109" s="30" t="s">
        <v>373</v>
      </c>
      <c r="P109" s="39"/>
      <c r="Q109" s="39"/>
    </row>
    <row r="110" spans="1:17" s="3" customFormat="1" ht="30" x14ac:dyDescent="0.25">
      <c r="A110" s="4" t="s">
        <v>234</v>
      </c>
      <c r="B110" s="15">
        <f t="shared" si="7"/>
        <v>388</v>
      </c>
      <c r="C110" s="15" t="str">
        <f t="shared" si="11"/>
        <v>0x00000184</v>
      </c>
      <c r="D110" s="15">
        <v>2</v>
      </c>
      <c r="E110" s="7" t="s">
        <v>521</v>
      </c>
      <c r="F110" s="15" t="s">
        <v>283</v>
      </c>
      <c r="G110" s="17" t="s">
        <v>0</v>
      </c>
      <c r="H110" s="15" t="s">
        <v>183</v>
      </c>
      <c r="I110" s="15" t="s">
        <v>183</v>
      </c>
      <c r="J110" s="15" t="s">
        <v>183</v>
      </c>
      <c r="K110" s="40" t="s">
        <v>474</v>
      </c>
      <c r="L110" s="46" t="s">
        <v>474</v>
      </c>
      <c r="M110" s="18" t="s">
        <v>275</v>
      </c>
      <c r="N110" s="31" t="s">
        <v>374</v>
      </c>
      <c r="O110" s="30" t="s">
        <v>373</v>
      </c>
      <c r="P110" s="39"/>
      <c r="Q110" s="39"/>
    </row>
    <row r="111" spans="1:17" s="3" customFormat="1" ht="30" x14ac:dyDescent="0.25">
      <c r="A111" s="4" t="s">
        <v>234</v>
      </c>
      <c r="B111" s="15">
        <f t="shared" si="7"/>
        <v>390</v>
      </c>
      <c r="C111" s="15" t="str">
        <f t="shared" si="11"/>
        <v>0x00000186</v>
      </c>
      <c r="D111" s="15">
        <v>2</v>
      </c>
      <c r="E111" s="7" t="s">
        <v>522</v>
      </c>
      <c r="F111" s="15" t="s">
        <v>283</v>
      </c>
      <c r="G111" s="17" t="s">
        <v>0</v>
      </c>
      <c r="H111" s="15" t="s">
        <v>183</v>
      </c>
      <c r="I111" s="15" t="s">
        <v>183</v>
      </c>
      <c r="J111" s="15" t="s">
        <v>183</v>
      </c>
      <c r="K111" s="40" t="s">
        <v>475</v>
      </c>
      <c r="L111" s="46" t="s">
        <v>475</v>
      </c>
      <c r="M111" s="18" t="s">
        <v>275</v>
      </c>
      <c r="N111" s="31" t="s">
        <v>374</v>
      </c>
      <c r="O111" s="30" t="s">
        <v>373</v>
      </c>
      <c r="P111" s="39"/>
      <c r="Q111" s="39"/>
    </row>
    <row r="112" spans="1:17" s="3" customFormat="1" ht="30" x14ac:dyDescent="0.25">
      <c r="A112" s="4" t="s">
        <v>234</v>
      </c>
      <c r="B112" s="15">
        <f t="shared" si="7"/>
        <v>392</v>
      </c>
      <c r="C112" s="15" t="str">
        <f t="shared" si="11"/>
        <v>0x00000188</v>
      </c>
      <c r="D112" s="15">
        <v>2</v>
      </c>
      <c r="E112" s="7" t="s">
        <v>523</v>
      </c>
      <c r="F112" s="15" t="s">
        <v>283</v>
      </c>
      <c r="G112" s="17" t="s">
        <v>0</v>
      </c>
      <c r="H112" s="15" t="s">
        <v>183</v>
      </c>
      <c r="I112" s="15" t="s">
        <v>183</v>
      </c>
      <c r="J112" s="15" t="s">
        <v>183</v>
      </c>
      <c r="K112" s="40" t="s">
        <v>476</v>
      </c>
      <c r="L112" s="46" t="s">
        <v>476</v>
      </c>
      <c r="M112" s="18" t="s">
        <v>275</v>
      </c>
      <c r="N112" s="31" t="s">
        <v>374</v>
      </c>
      <c r="O112" s="30" t="s">
        <v>373</v>
      </c>
      <c r="P112" s="39"/>
      <c r="Q112" s="39"/>
    </row>
    <row r="113" spans="1:17" s="3" customFormat="1" ht="30" x14ac:dyDescent="0.25">
      <c r="A113" s="4" t="s">
        <v>234</v>
      </c>
      <c r="B113" s="15">
        <f t="shared" si="7"/>
        <v>394</v>
      </c>
      <c r="C113" s="15" t="str">
        <f t="shared" ref="C113:C144" si="12">CONCATENATE("0x",DEC2HEX(B113,8))</f>
        <v>0x0000018A</v>
      </c>
      <c r="D113" s="15">
        <v>2</v>
      </c>
      <c r="E113" s="7" t="s">
        <v>524</v>
      </c>
      <c r="F113" s="15" t="s">
        <v>283</v>
      </c>
      <c r="G113" s="17" t="s">
        <v>0</v>
      </c>
      <c r="H113" s="15" t="s">
        <v>183</v>
      </c>
      <c r="I113" s="15" t="s">
        <v>183</v>
      </c>
      <c r="J113" s="15" t="s">
        <v>183</v>
      </c>
      <c r="K113" s="40" t="s">
        <v>476</v>
      </c>
      <c r="L113" s="46" t="s">
        <v>476</v>
      </c>
      <c r="M113" s="18" t="s">
        <v>275</v>
      </c>
      <c r="N113" s="31" t="s">
        <v>374</v>
      </c>
      <c r="O113" s="30" t="s">
        <v>373</v>
      </c>
      <c r="P113" s="39"/>
      <c r="Q113" s="39"/>
    </row>
    <row r="114" spans="1:17" s="3" customFormat="1" ht="30" x14ac:dyDescent="0.25">
      <c r="A114" s="4" t="s">
        <v>234</v>
      </c>
      <c r="B114" s="15">
        <f t="shared" si="7"/>
        <v>396</v>
      </c>
      <c r="C114" s="15" t="str">
        <f t="shared" si="12"/>
        <v>0x0000018C</v>
      </c>
      <c r="D114" s="15">
        <v>2</v>
      </c>
      <c r="E114" s="7" t="s">
        <v>525</v>
      </c>
      <c r="F114" s="15" t="s">
        <v>283</v>
      </c>
      <c r="G114" s="17" t="s">
        <v>0</v>
      </c>
      <c r="H114" s="15" t="s">
        <v>183</v>
      </c>
      <c r="I114" s="15" t="s">
        <v>183</v>
      </c>
      <c r="J114" s="15" t="s">
        <v>183</v>
      </c>
      <c r="K114" s="40" t="s">
        <v>476</v>
      </c>
      <c r="L114" s="46" t="s">
        <v>476</v>
      </c>
      <c r="M114" s="18" t="s">
        <v>275</v>
      </c>
      <c r="N114" s="31" t="s">
        <v>374</v>
      </c>
      <c r="O114" s="30" t="s">
        <v>373</v>
      </c>
      <c r="P114" s="39"/>
      <c r="Q114" s="39"/>
    </row>
    <row r="115" spans="1:17" s="3" customFormat="1" ht="30" x14ac:dyDescent="0.25">
      <c r="A115" s="4" t="s">
        <v>234</v>
      </c>
      <c r="B115" s="15">
        <f t="shared" si="7"/>
        <v>398</v>
      </c>
      <c r="C115" s="15" t="str">
        <f t="shared" si="12"/>
        <v>0x0000018E</v>
      </c>
      <c r="D115" s="15">
        <v>2</v>
      </c>
      <c r="E115" s="7" t="s">
        <v>526</v>
      </c>
      <c r="F115" s="15" t="s">
        <v>283</v>
      </c>
      <c r="G115" s="17" t="s">
        <v>0</v>
      </c>
      <c r="H115" s="15" t="s">
        <v>183</v>
      </c>
      <c r="I115" s="15" t="s">
        <v>183</v>
      </c>
      <c r="J115" s="15" t="s">
        <v>183</v>
      </c>
      <c r="K115" s="40" t="s">
        <v>476</v>
      </c>
      <c r="L115" s="46" t="s">
        <v>476</v>
      </c>
      <c r="M115" s="18" t="s">
        <v>275</v>
      </c>
      <c r="N115" s="31" t="s">
        <v>374</v>
      </c>
      <c r="O115" s="30" t="s">
        <v>373</v>
      </c>
      <c r="P115" s="39"/>
      <c r="Q115" s="39"/>
    </row>
    <row r="116" spans="1:17" s="3" customFormat="1" ht="30" x14ac:dyDescent="0.25">
      <c r="A116" s="4" t="s">
        <v>234</v>
      </c>
      <c r="B116" s="15">
        <f t="shared" si="7"/>
        <v>400</v>
      </c>
      <c r="C116" s="15" t="str">
        <f t="shared" si="12"/>
        <v>0x00000190</v>
      </c>
      <c r="D116" s="15">
        <v>2</v>
      </c>
      <c r="E116" s="7" t="s">
        <v>527</v>
      </c>
      <c r="F116" s="15" t="s">
        <v>283</v>
      </c>
      <c r="G116" s="17" t="s">
        <v>0</v>
      </c>
      <c r="H116" s="15" t="s">
        <v>183</v>
      </c>
      <c r="I116" s="15" t="s">
        <v>183</v>
      </c>
      <c r="J116" s="15" t="s">
        <v>183</v>
      </c>
      <c r="K116" s="40" t="s">
        <v>476</v>
      </c>
      <c r="L116" s="46" t="s">
        <v>476</v>
      </c>
      <c r="M116" s="18" t="s">
        <v>275</v>
      </c>
      <c r="N116" s="31" t="s">
        <v>374</v>
      </c>
      <c r="O116" s="30" t="s">
        <v>373</v>
      </c>
      <c r="P116" s="39"/>
      <c r="Q116" s="39"/>
    </row>
    <row r="117" spans="1:17" s="3" customFormat="1" ht="30" x14ac:dyDescent="0.25">
      <c r="A117" s="4" t="s">
        <v>234</v>
      </c>
      <c r="B117" s="15">
        <f t="shared" si="7"/>
        <v>402</v>
      </c>
      <c r="C117" s="15" t="str">
        <f t="shared" si="12"/>
        <v>0x00000192</v>
      </c>
      <c r="D117" s="15">
        <v>2</v>
      </c>
      <c r="E117" s="7" t="s">
        <v>528</v>
      </c>
      <c r="F117" s="15" t="s">
        <v>283</v>
      </c>
      <c r="G117" s="17" t="s">
        <v>0</v>
      </c>
      <c r="H117" s="15" t="s">
        <v>183</v>
      </c>
      <c r="I117" s="15" t="s">
        <v>183</v>
      </c>
      <c r="J117" s="15" t="s">
        <v>183</v>
      </c>
      <c r="K117" s="40" t="s">
        <v>476</v>
      </c>
      <c r="L117" s="46" t="s">
        <v>476</v>
      </c>
      <c r="M117" s="18" t="s">
        <v>275</v>
      </c>
      <c r="N117" s="31" t="s">
        <v>374</v>
      </c>
      <c r="O117" s="30" t="s">
        <v>373</v>
      </c>
      <c r="P117" s="39"/>
      <c r="Q117" s="39"/>
    </row>
    <row r="118" spans="1:17" s="3" customFormat="1" ht="30" x14ac:dyDescent="0.25">
      <c r="A118" s="4" t="s">
        <v>234</v>
      </c>
      <c r="B118" s="15">
        <f t="shared" si="7"/>
        <v>404</v>
      </c>
      <c r="C118" s="15" t="str">
        <f t="shared" si="12"/>
        <v>0x00000194</v>
      </c>
      <c r="D118" s="15">
        <v>2</v>
      </c>
      <c r="E118" s="7" t="s">
        <v>529</v>
      </c>
      <c r="F118" s="15" t="s">
        <v>283</v>
      </c>
      <c r="G118" s="17" t="s">
        <v>0</v>
      </c>
      <c r="H118" s="15" t="s">
        <v>183</v>
      </c>
      <c r="I118" s="15" t="s">
        <v>183</v>
      </c>
      <c r="J118" s="15" t="s">
        <v>183</v>
      </c>
      <c r="K118" s="40" t="s">
        <v>476</v>
      </c>
      <c r="L118" s="46" t="s">
        <v>476</v>
      </c>
      <c r="M118" s="18" t="s">
        <v>275</v>
      </c>
      <c r="N118" s="31" t="s">
        <v>374</v>
      </c>
      <c r="O118" s="30" t="s">
        <v>373</v>
      </c>
      <c r="P118" s="39"/>
      <c r="Q118" s="39"/>
    </row>
    <row r="119" spans="1:17" s="3" customFormat="1" ht="30" x14ac:dyDescent="0.25">
      <c r="A119" s="4" t="s">
        <v>234</v>
      </c>
      <c r="B119" s="15">
        <f t="shared" si="7"/>
        <v>406</v>
      </c>
      <c r="C119" s="15" t="str">
        <f t="shared" si="12"/>
        <v>0x00000196</v>
      </c>
      <c r="D119" s="15">
        <v>2</v>
      </c>
      <c r="E119" s="7" t="s">
        <v>530</v>
      </c>
      <c r="F119" s="15" t="s">
        <v>283</v>
      </c>
      <c r="G119" s="17" t="s">
        <v>0</v>
      </c>
      <c r="H119" s="15" t="s">
        <v>183</v>
      </c>
      <c r="I119" s="15" t="s">
        <v>183</v>
      </c>
      <c r="J119" s="15" t="s">
        <v>183</v>
      </c>
      <c r="K119" s="40" t="s">
        <v>476</v>
      </c>
      <c r="L119" s="46" t="s">
        <v>476</v>
      </c>
      <c r="M119" s="18" t="s">
        <v>275</v>
      </c>
      <c r="N119" s="31" t="s">
        <v>374</v>
      </c>
      <c r="O119" s="30" t="s">
        <v>373</v>
      </c>
      <c r="P119" s="39"/>
      <c r="Q119" s="39"/>
    </row>
    <row r="120" spans="1:17" s="3" customFormat="1" ht="30" x14ac:dyDescent="0.25">
      <c r="A120" s="4" t="s">
        <v>234</v>
      </c>
      <c r="B120" s="15">
        <f t="shared" si="7"/>
        <v>408</v>
      </c>
      <c r="C120" s="15" t="str">
        <f t="shared" si="12"/>
        <v>0x00000198</v>
      </c>
      <c r="D120" s="15">
        <v>2</v>
      </c>
      <c r="E120" s="7" t="s">
        <v>531</v>
      </c>
      <c r="F120" s="15" t="s">
        <v>283</v>
      </c>
      <c r="G120" s="17" t="s">
        <v>0</v>
      </c>
      <c r="H120" s="15" t="s">
        <v>183</v>
      </c>
      <c r="I120" s="15" t="s">
        <v>183</v>
      </c>
      <c r="J120" s="15" t="s">
        <v>183</v>
      </c>
      <c r="K120" s="40" t="s">
        <v>476</v>
      </c>
      <c r="L120" s="46" t="s">
        <v>476</v>
      </c>
      <c r="M120" s="18" t="s">
        <v>275</v>
      </c>
      <c r="N120" s="31" t="s">
        <v>374</v>
      </c>
      <c r="O120" s="30" t="s">
        <v>373</v>
      </c>
      <c r="P120" s="39"/>
      <c r="Q120" s="39"/>
    </row>
    <row r="121" spans="1:17" s="3" customFormat="1" ht="30" x14ac:dyDescent="0.25">
      <c r="A121" s="4" t="s">
        <v>234</v>
      </c>
      <c r="B121" s="15">
        <f t="shared" si="7"/>
        <v>410</v>
      </c>
      <c r="C121" s="15" t="str">
        <f t="shared" si="12"/>
        <v>0x0000019A</v>
      </c>
      <c r="D121" s="15">
        <v>2</v>
      </c>
      <c r="E121" s="7" t="s">
        <v>532</v>
      </c>
      <c r="F121" s="15" t="s">
        <v>283</v>
      </c>
      <c r="G121" s="17" t="s">
        <v>0</v>
      </c>
      <c r="H121" s="15" t="s">
        <v>183</v>
      </c>
      <c r="I121" s="15" t="s">
        <v>183</v>
      </c>
      <c r="J121" s="15" t="s">
        <v>183</v>
      </c>
      <c r="K121" s="40" t="s">
        <v>476</v>
      </c>
      <c r="L121" s="46" t="s">
        <v>476</v>
      </c>
      <c r="M121" s="18" t="s">
        <v>275</v>
      </c>
      <c r="N121" s="31" t="s">
        <v>374</v>
      </c>
      <c r="O121" s="30" t="s">
        <v>373</v>
      </c>
      <c r="P121" s="39"/>
      <c r="Q121" s="39"/>
    </row>
    <row r="122" spans="1:17" s="3" customFormat="1" ht="30" x14ac:dyDescent="0.25">
      <c r="A122" s="4" t="s">
        <v>234</v>
      </c>
      <c r="B122" s="15">
        <f t="shared" si="7"/>
        <v>412</v>
      </c>
      <c r="C122" s="15" t="str">
        <f t="shared" si="12"/>
        <v>0x0000019C</v>
      </c>
      <c r="D122" s="15">
        <v>2</v>
      </c>
      <c r="E122" s="7" t="s">
        <v>533</v>
      </c>
      <c r="F122" s="15" t="s">
        <v>283</v>
      </c>
      <c r="G122" s="17" t="s">
        <v>0</v>
      </c>
      <c r="H122" s="15" t="s">
        <v>183</v>
      </c>
      <c r="I122" s="15" t="s">
        <v>183</v>
      </c>
      <c r="J122" s="15" t="s">
        <v>183</v>
      </c>
      <c r="K122" s="40" t="s">
        <v>476</v>
      </c>
      <c r="L122" s="46" t="s">
        <v>476</v>
      </c>
      <c r="M122" s="18" t="s">
        <v>275</v>
      </c>
      <c r="N122" s="31" t="s">
        <v>374</v>
      </c>
      <c r="O122" s="30" t="s">
        <v>373</v>
      </c>
      <c r="P122" s="39"/>
      <c r="Q122" s="39"/>
    </row>
    <row r="123" spans="1:17" s="3" customFormat="1" ht="30" x14ac:dyDescent="0.25">
      <c r="A123" s="4" t="s">
        <v>234</v>
      </c>
      <c r="B123" s="15">
        <f t="shared" si="7"/>
        <v>414</v>
      </c>
      <c r="C123" s="15" t="str">
        <f t="shared" si="12"/>
        <v>0x0000019E</v>
      </c>
      <c r="D123" s="15">
        <v>2</v>
      </c>
      <c r="E123" s="7" t="s">
        <v>534</v>
      </c>
      <c r="F123" s="15" t="s">
        <v>283</v>
      </c>
      <c r="G123" s="17" t="s">
        <v>0</v>
      </c>
      <c r="H123" s="15" t="s">
        <v>183</v>
      </c>
      <c r="I123" s="15" t="s">
        <v>183</v>
      </c>
      <c r="J123" s="15" t="s">
        <v>183</v>
      </c>
      <c r="K123" s="40" t="s">
        <v>476</v>
      </c>
      <c r="L123" s="46" t="s">
        <v>476</v>
      </c>
      <c r="M123" s="18" t="s">
        <v>275</v>
      </c>
      <c r="N123" s="31" t="s">
        <v>374</v>
      </c>
      <c r="O123" s="30" t="s">
        <v>373</v>
      </c>
      <c r="P123" s="39"/>
      <c r="Q123" s="39"/>
    </row>
    <row r="124" spans="1:17" s="3" customFormat="1" ht="30" x14ac:dyDescent="0.25">
      <c r="A124" s="4" t="s">
        <v>234</v>
      </c>
      <c r="B124" s="15">
        <f t="shared" si="7"/>
        <v>416</v>
      </c>
      <c r="C124" s="15" t="str">
        <f t="shared" si="12"/>
        <v>0x000001A0</v>
      </c>
      <c r="D124" s="15">
        <v>2</v>
      </c>
      <c r="E124" s="7" t="s">
        <v>535</v>
      </c>
      <c r="F124" s="15" t="s">
        <v>283</v>
      </c>
      <c r="G124" s="17" t="s">
        <v>0</v>
      </c>
      <c r="H124" s="15" t="s">
        <v>183</v>
      </c>
      <c r="I124" s="15" t="s">
        <v>183</v>
      </c>
      <c r="J124" s="15" t="s">
        <v>183</v>
      </c>
      <c r="K124" s="40" t="s">
        <v>476</v>
      </c>
      <c r="L124" s="46" t="s">
        <v>476</v>
      </c>
      <c r="M124" s="18" t="s">
        <v>275</v>
      </c>
      <c r="N124" s="31" t="s">
        <v>374</v>
      </c>
      <c r="O124" s="30" t="s">
        <v>373</v>
      </c>
      <c r="P124" s="39"/>
      <c r="Q124" s="39"/>
    </row>
    <row r="125" spans="1:17" s="3" customFormat="1" ht="30" x14ac:dyDescent="0.25">
      <c r="A125" s="4" t="s">
        <v>234</v>
      </c>
      <c r="B125" s="15">
        <f t="shared" si="7"/>
        <v>418</v>
      </c>
      <c r="C125" s="15" t="str">
        <f t="shared" si="12"/>
        <v>0x000001A2</v>
      </c>
      <c r="D125" s="15">
        <v>2</v>
      </c>
      <c r="E125" s="7" t="s">
        <v>536</v>
      </c>
      <c r="F125" s="15" t="s">
        <v>283</v>
      </c>
      <c r="G125" s="17" t="s">
        <v>0</v>
      </c>
      <c r="H125" s="15" t="s">
        <v>183</v>
      </c>
      <c r="I125" s="15" t="s">
        <v>183</v>
      </c>
      <c r="J125" s="15" t="s">
        <v>183</v>
      </c>
      <c r="K125" s="40" t="s">
        <v>476</v>
      </c>
      <c r="L125" s="46" t="s">
        <v>476</v>
      </c>
      <c r="M125" s="18" t="s">
        <v>275</v>
      </c>
      <c r="N125" s="31" t="s">
        <v>374</v>
      </c>
      <c r="O125" s="30" t="s">
        <v>373</v>
      </c>
      <c r="P125" s="39"/>
      <c r="Q125" s="39"/>
    </row>
    <row r="126" spans="1:17" s="3" customFormat="1" ht="30" x14ac:dyDescent="0.25">
      <c r="A126" s="4" t="s">
        <v>234</v>
      </c>
      <c r="B126" s="15">
        <f t="shared" si="7"/>
        <v>420</v>
      </c>
      <c r="C126" s="15" t="str">
        <f t="shared" si="12"/>
        <v>0x000001A4</v>
      </c>
      <c r="D126" s="15">
        <v>2</v>
      </c>
      <c r="E126" s="7" t="s">
        <v>537</v>
      </c>
      <c r="F126" s="15" t="s">
        <v>283</v>
      </c>
      <c r="G126" s="17" t="s">
        <v>0</v>
      </c>
      <c r="H126" s="15" t="s">
        <v>183</v>
      </c>
      <c r="I126" s="15" t="s">
        <v>183</v>
      </c>
      <c r="J126" s="15" t="s">
        <v>183</v>
      </c>
      <c r="K126" s="40" t="s">
        <v>476</v>
      </c>
      <c r="L126" s="46" t="s">
        <v>476</v>
      </c>
      <c r="M126" s="18" t="s">
        <v>275</v>
      </c>
      <c r="N126" s="31" t="s">
        <v>374</v>
      </c>
      <c r="O126" s="30" t="s">
        <v>373</v>
      </c>
      <c r="P126" s="39"/>
      <c r="Q126" s="39"/>
    </row>
    <row r="127" spans="1:17" s="3" customFormat="1" ht="30" x14ac:dyDescent="0.25">
      <c r="A127" s="4" t="s">
        <v>234</v>
      </c>
      <c r="B127" s="15">
        <f t="shared" si="7"/>
        <v>422</v>
      </c>
      <c r="C127" s="15" t="str">
        <f t="shared" si="12"/>
        <v>0x000001A6</v>
      </c>
      <c r="D127" s="15">
        <v>2</v>
      </c>
      <c r="E127" s="7" t="s">
        <v>538</v>
      </c>
      <c r="F127" s="15" t="s">
        <v>283</v>
      </c>
      <c r="G127" s="17" t="s">
        <v>0</v>
      </c>
      <c r="H127" s="15" t="s">
        <v>183</v>
      </c>
      <c r="I127" s="15" t="s">
        <v>183</v>
      </c>
      <c r="J127" s="15" t="s">
        <v>183</v>
      </c>
      <c r="K127" s="40" t="s">
        <v>476</v>
      </c>
      <c r="L127" s="46" t="s">
        <v>476</v>
      </c>
      <c r="M127" s="18" t="s">
        <v>275</v>
      </c>
      <c r="N127" s="31" t="s">
        <v>374</v>
      </c>
      <c r="O127" s="30" t="s">
        <v>373</v>
      </c>
      <c r="P127" s="39"/>
      <c r="Q127" s="39"/>
    </row>
    <row r="128" spans="1:17" s="3" customFormat="1" ht="30" x14ac:dyDescent="0.25">
      <c r="A128" s="4" t="s">
        <v>234</v>
      </c>
      <c r="B128" s="15">
        <f t="shared" si="7"/>
        <v>424</v>
      </c>
      <c r="C128" s="15" t="str">
        <f t="shared" si="12"/>
        <v>0x000001A8</v>
      </c>
      <c r="D128" s="15">
        <v>2</v>
      </c>
      <c r="E128" s="7" t="s">
        <v>539</v>
      </c>
      <c r="F128" s="15" t="s">
        <v>283</v>
      </c>
      <c r="G128" s="17" t="s">
        <v>0</v>
      </c>
      <c r="H128" s="15" t="s">
        <v>183</v>
      </c>
      <c r="I128" s="15" t="s">
        <v>183</v>
      </c>
      <c r="J128" s="15" t="s">
        <v>183</v>
      </c>
      <c r="K128" s="40" t="s">
        <v>476</v>
      </c>
      <c r="L128" s="46" t="s">
        <v>476</v>
      </c>
      <c r="M128" s="18" t="s">
        <v>275</v>
      </c>
      <c r="N128" s="31" t="s">
        <v>374</v>
      </c>
      <c r="O128" s="30" t="s">
        <v>373</v>
      </c>
      <c r="P128" s="39"/>
      <c r="Q128" s="39"/>
    </row>
    <row r="129" spans="1:17" s="3" customFormat="1" ht="30" x14ac:dyDescent="0.25">
      <c r="A129" s="4" t="s">
        <v>234</v>
      </c>
      <c r="B129" s="15">
        <f t="shared" si="7"/>
        <v>426</v>
      </c>
      <c r="C129" s="15" t="str">
        <f t="shared" si="12"/>
        <v>0x000001AA</v>
      </c>
      <c r="D129" s="15">
        <v>2</v>
      </c>
      <c r="E129" s="7" t="s">
        <v>540</v>
      </c>
      <c r="F129" s="15" t="s">
        <v>283</v>
      </c>
      <c r="G129" s="17" t="s">
        <v>0</v>
      </c>
      <c r="H129" s="15" t="s">
        <v>183</v>
      </c>
      <c r="I129" s="15" t="s">
        <v>183</v>
      </c>
      <c r="J129" s="15" t="s">
        <v>183</v>
      </c>
      <c r="K129" s="40" t="s">
        <v>476</v>
      </c>
      <c r="L129" s="46" t="s">
        <v>476</v>
      </c>
      <c r="M129" s="18" t="s">
        <v>275</v>
      </c>
      <c r="N129" s="31" t="s">
        <v>374</v>
      </c>
      <c r="O129" s="30" t="s">
        <v>373</v>
      </c>
      <c r="P129" s="39"/>
      <c r="Q129" s="39"/>
    </row>
    <row r="130" spans="1:17" s="3" customFormat="1" ht="30" x14ac:dyDescent="0.25">
      <c r="A130" s="4" t="s">
        <v>234</v>
      </c>
      <c r="B130" s="15">
        <f t="shared" si="7"/>
        <v>428</v>
      </c>
      <c r="C130" s="15" t="str">
        <f t="shared" si="12"/>
        <v>0x000001AC</v>
      </c>
      <c r="D130" s="15">
        <v>2</v>
      </c>
      <c r="E130" s="7" t="s">
        <v>541</v>
      </c>
      <c r="F130" s="15" t="s">
        <v>283</v>
      </c>
      <c r="G130" s="17" t="s">
        <v>0</v>
      </c>
      <c r="H130" s="15" t="s">
        <v>183</v>
      </c>
      <c r="I130" s="15" t="s">
        <v>183</v>
      </c>
      <c r="J130" s="15" t="s">
        <v>183</v>
      </c>
      <c r="K130" s="40" t="s">
        <v>476</v>
      </c>
      <c r="L130" s="46" t="s">
        <v>476</v>
      </c>
      <c r="M130" s="18" t="s">
        <v>275</v>
      </c>
      <c r="N130" s="31" t="s">
        <v>374</v>
      </c>
      <c r="O130" s="30" t="s">
        <v>373</v>
      </c>
      <c r="P130" s="39"/>
      <c r="Q130" s="39"/>
    </row>
    <row r="131" spans="1:17" s="3" customFormat="1" ht="30" x14ac:dyDescent="0.25">
      <c r="A131" s="4" t="s">
        <v>234</v>
      </c>
      <c r="B131" s="15">
        <f t="shared" si="7"/>
        <v>430</v>
      </c>
      <c r="C131" s="15" t="str">
        <f t="shared" si="12"/>
        <v>0x000001AE</v>
      </c>
      <c r="D131" s="15">
        <v>2</v>
      </c>
      <c r="E131" s="7" t="s">
        <v>542</v>
      </c>
      <c r="F131" s="15" t="s">
        <v>283</v>
      </c>
      <c r="G131" s="17" t="s">
        <v>0</v>
      </c>
      <c r="H131" s="15" t="s">
        <v>183</v>
      </c>
      <c r="I131" s="15" t="s">
        <v>183</v>
      </c>
      <c r="J131" s="15" t="s">
        <v>183</v>
      </c>
      <c r="K131" s="40" t="s">
        <v>476</v>
      </c>
      <c r="L131" s="46" t="s">
        <v>476</v>
      </c>
      <c r="M131" s="18" t="s">
        <v>275</v>
      </c>
      <c r="N131" s="31" t="s">
        <v>374</v>
      </c>
      <c r="O131" s="30" t="s">
        <v>373</v>
      </c>
      <c r="P131" s="39"/>
      <c r="Q131" s="39"/>
    </row>
    <row r="132" spans="1:17" s="3" customFormat="1" ht="30" x14ac:dyDescent="0.25">
      <c r="A132" s="4" t="s">
        <v>234</v>
      </c>
      <c r="B132" s="15">
        <f t="shared" si="7"/>
        <v>432</v>
      </c>
      <c r="C132" s="15" t="str">
        <f t="shared" si="12"/>
        <v>0x000001B0</v>
      </c>
      <c r="D132" s="15">
        <v>2</v>
      </c>
      <c r="E132" s="7" t="s">
        <v>543</v>
      </c>
      <c r="F132" s="15" t="s">
        <v>283</v>
      </c>
      <c r="G132" s="17" t="s">
        <v>0</v>
      </c>
      <c r="H132" s="15" t="s">
        <v>183</v>
      </c>
      <c r="I132" s="15" t="s">
        <v>183</v>
      </c>
      <c r="J132" s="15" t="s">
        <v>183</v>
      </c>
      <c r="K132" s="40" t="s">
        <v>476</v>
      </c>
      <c r="L132" s="46" t="s">
        <v>476</v>
      </c>
      <c r="M132" s="18" t="s">
        <v>275</v>
      </c>
      <c r="N132" s="31" t="s">
        <v>374</v>
      </c>
      <c r="O132" s="30" t="s">
        <v>373</v>
      </c>
      <c r="P132" s="39"/>
      <c r="Q132" s="39"/>
    </row>
    <row r="133" spans="1:17" s="3" customFormat="1" ht="30" x14ac:dyDescent="0.25">
      <c r="A133" s="4" t="s">
        <v>234</v>
      </c>
      <c r="B133" s="15">
        <f t="shared" si="7"/>
        <v>434</v>
      </c>
      <c r="C133" s="15" t="str">
        <f t="shared" si="12"/>
        <v>0x000001B2</v>
      </c>
      <c r="D133" s="15">
        <v>2</v>
      </c>
      <c r="E133" s="7" t="s">
        <v>544</v>
      </c>
      <c r="F133" s="15" t="s">
        <v>283</v>
      </c>
      <c r="G133" s="17" t="s">
        <v>0</v>
      </c>
      <c r="H133" s="15" t="s">
        <v>183</v>
      </c>
      <c r="I133" s="15" t="s">
        <v>183</v>
      </c>
      <c r="J133" s="15" t="s">
        <v>183</v>
      </c>
      <c r="K133" s="40" t="s">
        <v>476</v>
      </c>
      <c r="L133" s="46" t="s">
        <v>476</v>
      </c>
      <c r="M133" s="18" t="s">
        <v>275</v>
      </c>
      <c r="N133" s="31" t="s">
        <v>374</v>
      </c>
      <c r="O133" s="30" t="s">
        <v>373</v>
      </c>
      <c r="P133" s="39"/>
      <c r="Q133" s="39"/>
    </row>
    <row r="134" spans="1:17" s="3" customFormat="1" ht="30" x14ac:dyDescent="0.25">
      <c r="A134" s="4" t="s">
        <v>234</v>
      </c>
      <c r="B134" s="15">
        <f t="shared" si="7"/>
        <v>436</v>
      </c>
      <c r="C134" s="15" t="str">
        <f t="shared" si="12"/>
        <v>0x000001B4</v>
      </c>
      <c r="D134" s="15">
        <v>2</v>
      </c>
      <c r="E134" s="7" t="s">
        <v>545</v>
      </c>
      <c r="F134" s="15" t="s">
        <v>283</v>
      </c>
      <c r="G134" s="17" t="s">
        <v>0</v>
      </c>
      <c r="H134" s="15" t="s">
        <v>183</v>
      </c>
      <c r="I134" s="15" t="s">
        <v>183</v>
      </c>
      <c r="J134" s="15" t="s">
        <v>183</v>
      </c>
      <c r="K134" s="40" t="s">
        <v>476</v>
      </c>
      <c r="L134" s="46" t="s">
        <v>476</v>
      </c>
      <c r="M134" s="18" t="s">
        <v>275</v>
      </c>
      <c r="N134" s="31" t="s">
        <v>374</v>
      </c>
      <c r="O134" s="30" t="s">
        <v>373</v>
      </c>
      <c r="P134" s="39"/>
      <c r="Q134" s="39"/>
    </row>
    <row r="135" spans="1:17" s="3" customFormat="1" ht="30" x14ac:dyDescent="0.25">
      <c r="A135" s="4" t="s">
        <v>234</v>
      </c>
      <c r="B135" s="15">
        <f t="shared" si="7"/>
        <v>438</v>
      </c>
      <c r="C135" s="15" t="str">
        <f t="shared" si="12"/>
        <v>0x000001B6</v>
      </c>
      <c r="D135" s="15">
        <v>2</v>
      </c>
      <c r="E135" s="7" t="s">
        <v>546</v>
      </c>
      <c r="F135" s="15" t="s">
        <v>283</v>
      </c>
      <c r="G135" s="17" t="s">
        <v>0</v>
      </c>
      <c r="H135" s="15" t="s">
        <v>183</v>
      </c>
      <c r="I135" s="15" t="s">
        <v>183</v>
      </c>
      <c r="J135" s="15" t="s">
        <v>183</v>
      </c>
      <c r="K135" s="40" t="s">
        <v>476</v>
      </c>
      <c r="L135" s="46" t="s">
        <v>476</v>
      </c>
      <c r="M135" s="18" t="s">
        <v>275</v>
      </c>
      <c r="N135" s="31" t="s">
        <v>374</v>
      </c>
      <c r="O135" s="30" t="s">
        <v>373</v>
      </c>
      <c r="P135" s="39"/>
      <c r="Q135" s="39"/>
    </row>
    <row r="136" spans="1:17" s="3" customFormat="1" ht="30" x14ac:dyDescent="0.25">
      <c r="A136" s="4" t="s">
        <v>234</v>
      </c>
      <c r="B136" s="15">
        <f t="shared" si="7"/>
        <v>440</v>
      </c>
      <c r="C136" s="15" t="str">
        <f t="shared" si="12"/>
        <v>0x000001B8</v>
      </c>
      <c r="D136" s="15">
        <v>2</v>
      </c>
      <c r="E136" s="7" t="s">
        <v>547</v>
      </c>
      <c r="F136" s="15" t="s">
        <v>283</v>
      </c>
      <c r="G136" s="17" t="s">
        <v>0</v>
      </c>
      <c r="H136" s="15" t="s">
        <v>183</v>
      </c>
      <c r="I136" s="15" t="s">
        <v>183</v>
      </c>
      <c r="J136" s="15" t="s">
        <v>183</v>
      </c>
      <c r="K136" s="40" t="s">
        <v>476</v>
      </c>
      <c r="L136" s="46" t="s">
        <v>476</v>
      </c>
      <c r="M136" s="18" t="s">
        <v>275</v>
      </c>
      <c r="N136" s="31" t="s">
        <v>374</v>
      </c>
      <c r="O136" s="30" t="s">
        <v>373</v>
      </c>
      <c r="P136" s="39"/>
      <c r="Q136" s="39"/>
    </row>
    <row r="137" spans="1:17" s="3" customFormat="1" ht="30" x14ac:dyDescent="0.25">
      <c r="A137" s="4" t="s">
        <v>234</v>
      </c>
      <c r="B137" s="15">
        <f t="shared" si="7"/>
        <v>442</v>
      </c>
      <c r="C137" s="15" t="str">
        <f t="shared" si="12"/>
        <v>0x000001BA</v>
      </c>
      <c r="D137" s="15">
        <v>2</v>
      </c>
      <c r="E137" s="7" t="s">
        <v>548</v>
      </c>
      <c r="F137" s="15" t="s">
        <v>283</v>
      </c>
      <c r="G137" s="17" t="s">
        <v>0</v>
      </c>
      <c r="H137" s="15" t="s">
        <v>183</v>
      </c>
      <c r="I137" s="15" t="s">
        <v>183</v>
      </c>
      <c r="J137" s="15" t="s">
        <v>183</v>
      </c>
      <c r="K137" s="40" t="s">
        <v>476</v>
      </c>
      <c r="L137" s="46" t="s">
        <v>476</v>
      </c>
      <c r="M137" s="18" t="s">
        <v>275</v>
      </c>
      <c r="N137" s="31" t="s">
        <v>374</v>
      </c>
      <c r="O137" s="30" t="s">
        <v>373</v>
      </c>
      <c r="P137" s="39"/>
      <c r="Q137" s="39"/>
    </row>
    <row r="138" spans="1:17" s="3" customFormat="1" ht="30" x14ac:dyDescent="0.25">
      <c r="A138" s="4" t="s">
        <v>234</v>
      </c>
      <c r="B138" s="15">
        <f t="shared" si="7"/>
        <v>444</v>
      </c>
      <c r="C138" s="15" t="str">
        <f t="shared" si="12"/>
        <v>0x000001BC</v>
      </c>
      <c r="D138" s="15">
        <v>2</v>
      </c>
      <c r="E138" s="7" t="s">
        <v>549</v>
      </c>
      <c r="F138" s="15" t="s">
        <v>283</v>
      </c>
      <c r="G138" s="17" t="s">
        <v>0</v>
      </c>
      <c r="H138" s="15" t="s">
        <v>183</v>
      </c>
      <c r="I138" s="15" t="s">
        <v>183</v>
      </c>
      <c r="J138" s="15" t="s">
        <v>183</v>
      </c>
      <c r="K138" s="40" t="s">
        <v>476</v>
      </c>
      <c r="L138" s="46" t="s">
        <v>476</v>
      </c>
      <c r="M138" s="18" t="s">
        <v>275</v>
      </c>
      <c r="N138" s="31" t="s">
        <v>374</v>
      </c>
      <c r="O138" s="30" t="s">
        <v>373</v>
      </c>
      <c r="P138" s="39"/>
      <c r="Q138" s="39"/>
    </row>
    <row r="139" spans="1:17" s="3" customFormat="1" ht="30" x14ac:dyDescent="0.25">
      <c r="A139" s="4" t="s">
        <v>234</v>
      </c>
      <c r="B139" s="15">
        <f t="shared" si="7"/>
        <v>446</v>
      </c>
      <c r="C139" s="15" t="str">
        <f t="shared" si="12"/>
        <v>0x000001BE</v>
      </c>
      <c r="D139" s="15">
        <v>2</v>
      </c>
      <c r="E139" s="7" t="s">
        <v>550</v>
      </c>
      <c r="F139" s="15" t="s">
        <v>283</v>
      </c>
      <c r="G139" s="17" t="s">
        <v>0</v>
      </c>
      <c r="H139" s="15" t="s">
        <v>183</v>
      </c>
      <c r="I139" s="15" t="s">
        <v>183</v>
      </c>
      <c r="J139" s="15" t="s">
        <v>183</v>
      </c>
      <c r="K139" s="40" t="s">
        <v>476</v>
      </c>
      <c r="L139" s="46" t="s">
        <v>476</v>
      </c>
      <c r="M139" s="18" t="s">
        <v>275</v>
      </c>
      <c r="N139" s="31" t="s">
        <v>374</v>
      </c>
      <c r="O139" s="30" t="s">
        <v>373</v>
      </c>
      <c r="P139" s="39"/>
      <c r="Q139" s="39"/>
    </row>
    <row r="140" spans="1:17" s="3" customFormat="1" ht="30" x14ac:dyDescent="0.25">
      <c r="A140" s="4" t="s">
        <v>234</v>
      </c>
      <c r="B140" s="15">
        <f t="shared" si="7"/>
        <v>448</v>
      </c>
      <c r="C140" s="15" t="str">
        <f t="shared" si="12"/>
        <v>0x000001C0</v>
      </c>
      <c r="D140" s="15">
        <v>2</v>
      </c>
      <c r="E140" s="7" t="s">
        <v>551</v>
      </c>
      <c r="F140" s="15" t="s">
        <v>283</v>
      </c>
      <c r="G140" s="17" t="s">
        <v>0</v>
      </c>
      <c r="H140" s="15" t="s">
        <v>183</v>
      </c>
      <c r="I140" s="15" t="s">
        <v>183</v>
      </c>
      <c r="J140" s="15" t="s">
        <v>183</v>
      </c>
      <c r="K140" s="40" t="s">
        <v>476</v>
      </c>
      <c r="L140" s="46" t="s">
        <v>476</v>
      </c>
      <c r="M140" s="18" t="s">
        <v>275</v>
      </c>
      <c r="N140" s="31" t="s">
        <v>374</v>
      </c>
      <c r="O140" s="30" t="s">
        <v>373</v>
      </c>
      <c r="P140" s="39"/>
      <c r="Q140" s="39"/>
    </row>
    <row r="141" spans="1:17" s="3" customFormat="1" ht="30" x14ac:dyDescent="0.25">
      <c r="A141" s="4" t="s">
        <v>234</v>
      </c>
      <c r="B141" s="15">
        <f t="shared" si="7"/>
        <v>450</v>
      </c>
      <c r="C141" s="15" t="str">
        <f t="shared" si="12"/>
        <v>0x000001C2</v>
      </c>
      <c r="D141" s="15">
        <v>2</v>
      </c>
      <c r="E141" s="7" t="s">
        <v>552</v>
      </c>
      <c r="F141" s="15" t="s">
        <v>283</v>
      </c>
      <c r="G141" s="17" t="s">
        <v>0</v>
      </c>
      <c r="H141" s="15" t="s">
        <v>183</v>
      </c>
      <c r="I141" s="15" t="s">
        <v>183</v>
      </c>
      <c r="J141" s="15" t="s">
        <v>183</v>
      </c>
      <c r="K141" s="40" t="s">
        <v>476</v>
      </c>
      <c r="L141" s="46" t="s">
        <v>476</v>
      </c>
      <c r="M141" s="18" t="s">
        <v>275</v>
      </c>
      <c r="N141" s="31" t="s">
        <v>374</v>
      </c>
      <c r="O141" s="30" t="s">
        <v>373</v>
      </c>
      <c r="P141" s="39"/>
      <c r="Q141" s="39"/>
    </row>
    <row r="142" spans="1:17" s="3" customFormat="1" ht="30" x14ac:dyDescent="0.25">
      <c r="A142" s="4" t="s">
        <v>234</v>
      </c>
      <c r="B142" s="15">
        <f t="shared" si="7"/>
        <v>452</v>
      </c>
      <c r="C142" s="15" t="str">
        <f t="shared" si="12"/>
        <v>0x000001C4</v>
      </c>
      <c r="D142" s="15">
        <v>2</v>
      </c>
      <c r="E142" s="7" t="s">
        <v>553</v>
      </c>
      <c r="F142" s="15" t="s">
        <v>283</v>
      </c>
      <c r="G142" s="17" t="s">
        <v>0</v>
      </c>
      <c r="H142" s="15" t="s">
        <v>183</v>
      </c>
      <c r="I142" s="15" t="s">
        <v>183</v>
      </c>
      <c r="J142" s="15" t="s">
        <v>183</v>
      </c>
      <c r="K142" s="40" t="s">
        <v>476</v>
      </c>
      <c r="L142" s="46" t="s">
        <v>476</v>
      </c>
      <c r="M142" s="18" t="s">
        <v>275</v>
      </c>
      <c r="N142" s="31" t="s">
        <v>374</v>
      </c>
      <c r="O142" s="30" t="s">
        <v>373</v>
      </c>
      <c r="P142" s="39"/>
      <c r="Q142" s="39"/>
    </row>
    <row r="143" spans="1:17" s="3" customFormat="1" ht="30" x14ac:dyDescent="0.25">
      <c r="A143" s="4" t="s">
        <v>234</v>
      </c>
      <c r="B143" s="15">
        <f t="shared" si="7"/>
        <v>454</v>
      </c>
      <c r="C143" s="15" t="str">
        <f t="shared" si="12"/>
        <v>0x000001C6</v>
      </c>
      <c r="D143" s="15">
        <v>2</v>
      </c>
      <c r="E143" s="7" t="s">
        <v>554</v>
      </c>
      <c r="F143" s="15" t="s">
        <v>283</v>
      </c>
      <c r="G143" s="17" t="s">
        <v>0</v>
      </c>
      <c r="H143" s="15" t="s">
        <v>183</v>
      </c>
      <c r="I143" s="15" t="s">
        <v>183</v>
      </c>
      <c r="J143" s="15" t="s">
        <v>183</v>
      </c>
      <c r="K143" s="40" t="s">
        <v>476</v>
      </c>
      <c r="L143" s="46" t="s">
        <v>476</v>
      </c>
      <c r="M143" s="18" t="s">
        <v>275</v>
      </c>
      <c r="N143" s="31" t="s">
        <v>374</v>
      </c>
      <c r="O143" s="30" t="s">
        <v>373</v>
      </c>
      <c r="P143" s="39"/>
      <c r="Q143" s="39"/>
    </row>
    <row r="144" spans="1:17" s="3" customFormat="1" ht="30" x14ac:dyDescent="0.25">
      <c r="A144" s="4" t="s">
        <v>234</v>
      </c>
      <c r="B144" s="15">
        <f t="shared" si="7"/>
        <v>456</v>
      </c>
      <c r="C144" s="15" t="str">
        <f t="shared" si="12"/>
        <v>0x000001C8</v>
      </c>
      <c r="D144" s="15">
        <v>2</v>
      </c>
      <c r="E144" s="7" t="s">
        <v>555</v>
      </c>
      <c r="F144" s="15" t="s">
        <v>283</v>
      </c>
      <c r="G144" s="17" t="s">
        <v>0</v>
      </c>
      <c r="H144" s="15" t="s">
        <v>183</v>
      </c>
      <c r="I144" s="15" t="s">
        <v>183</v>
      </c>
      <c r="J144" s="15" t="s">
        <v>183</v>
      </c>
      <c r="K144" s="40" t="s">
        <v>476</v>
      </c>
      <c r="L144" s="46" t="s">
        <v>476</v>
      </c>
      <c r="M144" s="18" t="s">
        <v>275</v>
      </c>
      <c r="N144" s="31" t="s">
        <v>374</v>
      </c>
      <c r="O144" s="30" t="s">
        <v>373</v>
      </c>
      <c r="P144" s="39"/>
      <c r="Q144" s="39"/>
    </row>
    <row r="145" spans="1:17" s="3" customFormat="1" ht="30" x14ac:dyDescent="0.25">
      <c r="A145" s="4" t="s">
        <v>234</v>
      </c>
      <c r="B145" s="15">
        <f t="shared" si="7"/>
        <v>458</v>
      </c>
      <c r="C145" s="15" t="str">
        <f t="shared" ref="C145:C176" si="13">CONCATENATE("0x",DEC2HEX(B145,8))</f>
        <v>0x000001CA</v>
      </c>
      <c r="D145" s="15">
        <v>2</v>
      </c>
      <c r="E145" s="7" t="s">
        <v>556</v>
      </c>
      <c r="F145" s="15" t="s">
        <v>283</v>
      </c>
      <c r="G145" s="17" t="s">
        <v>0</v>
      </c>
      <c r="H145" s="15" t="s">
        <v>183</v>
      </c>
      <c r="I145" s="15" t="s">
        <v>183</v>
      </c>
      <c r="J145" s="15" t="s">
        <v>183</v>
      </c>
      <c r="K145" s="40" t="s">
        <v>476</v>
      </c>
      <c r="L145" s="46" t="s">
        <v>476</v>
      </c>
      <c r="M145" s="18" t="s">
        <v>275</v>
      </c>
      <c r="N145" s="31" t="s">
        <v>374</v>
      </c>
      <c r="O145" s="30" t="s">
        <v>373</v>
      </c>
      <c r="P145" s="39"/>
      <c r="Q145" s="39"/>
    </row>
    <row r="146" spans="1:17" s="3" customFormat="1" ht="30" x14ac:dyDescent="0.25">
      <c r="A146" s="4" t="s">
        <v>234</v>
      </c>
      <c r="B146" s="15">
        <f t="shared" si="7"/>
        <v>460</v>
      </c>
      <c r="C146" s="15" t="str">
        <f t="shared" si="13"/>
        <v>0x000001CC</v>
      </c>
      <c r="D146" s="15">
        <v>2</v>
      </c>
      <c r="E146" s="7" t="s">
        <v>557</v>
      </c>
      <c r="F146" s="15" t="s">
        <v>283</v>
      </c>
      <c r="G146" s="17" t="s">
        <v>0</v>
      </c>
      <c r="H146" s="15" t="s">
        <v>183</v>
      </c>
      <c r="I146" s="15" t="s">
        <v>183</v>
      </c>
      <c r="J146" s="15" t="s">
        <v>183</v>
      </c>
      <c r="K146" s="40" t="s">
        <v>476</v>
      </c>
      <c r="L146" s="46" t="s">
        <v>476</v>
      </c>
      <c r="M146" s="18" t="s">
        <v>275</v>
      </c>
      <c r="N146" s="31" t="s">
        <v>374</v>
      </c>
      <c r="O146" s="30" t="s">
        <v>373</v>
      </c>
      <c r="P146" s="39"/>
      <c r="Q146" s="39"/>
    </row>
    <row r="147" spans="1:17" s="3" customFormat="1" ht="30" x14ac:dyDescent="0.25">
      <c r="A147" s="4" t="s">
        <v>234</v>
      </c>
      <c r="B147" s="15">
        <f t="shared" si="7"/>
        <v>462</v>
      </c>
      <c r="C147" s="15" t="str">
        <f t="shared" si="13"/>
        <v>0x000001CE</v>
      </c>
      <c r="D147" s="15">
        <v>2</v>
      </c>
      <c r="E147" s="7" t="s">
        <v>558</v>
      </c>
      <c r="F147" s="15" t="s">
        <v>283</v>
      </c>
      <c r="G147" s="17" t="s">
        <v>0</v>
      </c>
      <c r="H147" s="15" t="s">
        <v>183</v>
      </c>
      <c r="I147" s="15" t="s">
        <v>183</v>
      </c>
      <c r="J147" s="15" t="s">
        <v>183</v>
      </c>
      <c r="K147" s="40" t="s">
        <v>476</v>
      </c>
      <c r="L147" s="46" t="s">
        <v>476</v>
      </c>
      <c r="M147" s="18" t="s">
        <v>275</v>
      </c>
      <c r="N147" s="31" t="s">
        <v>374</v>
      </c>
      <c r="O147" s="30" t="s">
        <v>373</v>
      </c>
      <c r="P147" s="39"/>
      <c r="Q147" s="39"/>
    </row>
    <row r="148" spans="1:17" s="3" customFormat="1" ht="30" x14ac:dyDescent="0.25">
      <c r="A148" s="4" t="s">
        <v>234</v>
      </c>
      <c r="B148" s="15">
        <f t="shared" si="7"/>
        <v>464</v>
      </c>
      <c r="C148" s="15" t="str">
        <f t="shared" si="13"/>
        <v>0x000001D0</v>
      </c>
      <c r="D148" s="15">
        <v>2</v>
      </c>
      <c r="E148" s="7" t="s">
        <v>559</v>
      </c>
      <c r="F148" s="15" t="s">
        <v>283</v>
      </c>
      <c r="G148" s="17" t="s">
        <v>0</v>
      </c>
      <c r="H148" s="15" t="s">
        <v>183</v>
      </c>
      <c r="I148" s="15" t="s">
        <v>183</v>
      </c>
      <c r="J148" s="15" t="s">
        <v>183</v>
      </c>
      <c r="K148" s="40" t="s">
        <v>476</v>
      </c>
      <c r="L148" s="46" t="s">
        <v>476</v>
      </c>
      <c r="M148" s="18" t="s">
        <v>275</v>
      </c>
      <c r="N148" s="31" t="s">
        <v>374</v>
      </c>
      <c r="O148" s="30" t="s">
        <v>373</v>
      </c>
      <c r="P148" s="39"/>
      <c r="Q148" s="39"/>
    </row>
    <row r="149" spans="1:17" s="3" customFormat="1" ht="30" x14ac:dyDescent="0.25">
      <c r="A149" s="4" t="s">
        <v>234</v>
      </c>
      <c r="B149" s="15">
        <f t="shared" si="7"/>
        <v>466</v>
      </c>
      <c r="C149" s="15" t="str">
        <f t="shared" si="13"/>
        <v>0x000001D2</v>
      </c>
      <c r="D149" s="15">
        <v>2</v>
      </c>
      <c r="E149" s="7" t="s">
        <v>560</v>
      </c>
      <c r="F149" s="15" t="s">
        <v>283</v>
      </c>
      <c r="G149" s="17" t="s">
        <v>0</v>
      </c>
      <c r="H149" s="15" t="s">
        <v>183</v>
      </c>
      <c r="I149" s="15" t="s">
        <v>183</v>
      </c>
      <c r="J149" s="15" t="s">
        <v>183</v>
      </c>
      <c r="K149" s="40" t="s">
        <v>476</v>
      </c>
      <c r="L149" s="46" t="s">
        <v>476</v>
      </c>
      <c r="M149" s="18" t="s">
        <v>275</v>
      </c>
      <c r="N149" s="31" t="s">
        <v>374</v>
      </c>
      <c r="O149" s="30" t="s">
        <v>373</v>
      </c>
      <c r="P149" s="39"/>
      <c r="Q149" s="39"/>
    </row>
    <row r="150" spans="1:17" s="3" customFormat="1" ht="30" x14ac:dyDescent="0.25">
      <c r="A150" s="4" t="s">
        <v>234</v>
      </c>
      <c r="B150" s="15">
        <f t="shared" si="7"/>
        <v>468</v>
      </c>
      <c r="C150" s="15" t="str">
        <f t="shared" si="13"/>
        <v>0x000001D4</v>
      </c>
      <c r="D150" s="15">
        <v>2</v>
      </c>
      <c r="E150" s="7" t="s">
        <v>561</v>
      </c>
      <c r="F150" s="15" t="s">
        <v>283</v>
      </c>
      <c r="G150" s="17" t="s">
        <v>0</v>
      </c>
      <c r="H150" s="15" t="s">
        <v>183</v>
      </c>
      <c r="I150" s="15" t="s">
        <v>183</v>
      </c>
      <c r="J150" s="15" t="s">
        <v>183</v>
      </c>
      <c r="K150" s="40" t="s">
        <v>476</v>
      </c>
      <c r="L150" s="46" t="s">
        <v>476</v>
      </c>
      <c r="M150" s="18" t="s">
        <v>275</v>
      </c>
      <c r="N150" s="31" t="s">
        <v>374</v>
      </c>
      <c r="O150" s="30" t="s">
        <v>373</v>
      </c>
      <c r="P150" s="39"/>
      <c r="Q150" s="39"/>
    </row>
    <row r="151" spans="1:17" s="3" customFormat="1" ht="30" x14ac:dyDescent="0.25">
      <c r="A151" s="4" t="s">
        <v>234</v>
      </c>
      <c r="B151" s="15">
        <f t="shared" si="7"/>
        <v>470</v>
      </c>
      <c r="C151" s="15" t="str">
        <f t="shared" si="13"/>
        <v>0x000001D6</v>
      </c>
      <c r="D151" s="15">
        <v>2</v>
      </c>
      <c r="E151" s="7" t="s">
        <v>562</v>
      </c>
      <c r="F151" s="15" t="s">
        <v>283</v>
      </c>
      <c r="G151" s="17" t="s">
        <v>0</v>
      </c>
      <c r="H151" s="15" t="s">
        <v>183</v>
      </c>
      <c r="I151" s="15" t="s">
        <v>183</v>
      </c>
      <c r="J151" s="15" t="s">
        <v>183</v>
      </c>
      <c r="K151" s="40" t="s">
        <v>476</v>
      </c>
      <c r="L151" s="46" t="s">
        <v>476</v>
      </c>
      <c r="M151" s="18" t="s">
        <v>275</v>
      </c>
      <c r="N151" s="31" t="s">
        <v>374</v>
      </c>
      <c r="O151" s="30" t="s">
        <v>373</v>
      </c>
      <c r="P151" s="39"/>
      <c r="Q151" s="39"/>
    </row>
    <row r="152" spans="1:17" s="3" customFormat="1" ht="30" x14ac:dyDescent="0.25">
      <c r="A152" s="4" t="s">
        <v>234</v>
      </c>
      <c r="B152" s="15">
        <f t="shared" si="7"/>
        <v>472</v>
      </c>
      <c r="C152" s="15" t="str">
        <f t="shared" si="13"/>
        <v>0x000001D8</v>
      </c>
      <c r="D152" s="15">
        <v>2</v>
      </c>
      <c r="E152" s="7" t="s">
        <v>563</v>
      </c>
      <c r="F152" s="15" t="s">
        <v>283</v>
      </c>
      <c r="G152" s="17" t="s">
        <v>0</v>
      </c>
      <c r="H152" s="15" t="s">
        <v>183</v>
      </c>
      <c r="I152" s="15" t="s">
        <v>183</v>
      </c>
      <c r="J152" s="15" t="s">
        <v>183</v>
      </c>
      <c r="K152" s="40" t="s">
        <v>476</v>
      </c>
      <c r="L152" s="46" t="s">
        <v>476</v>
      </c>
      <c r="M152" s="18" t="s">
        <v>275</v>
      </c>
      <c r="N152" s="31" t="s">
        <v>374</v>
      </c>
      <c r="O152" s="30" t="s">
        <v>373</v>
      </c>
      <c r="P152" s="39"/>
      <c r="Q152" s="39"/>
    </row>
    <row r="153" spans="1:17" s="3" customFormat="1" ht="30" x14ac:dyDescent="0.25">
      <c r="A153" s="4" t="s">
        <v>234</v>
      </c>
      <c r="B153" s="15">
        <f t="shared" si="7"/>
        <v>474</v>
      </c>
      <c r="C153" s="15" t="str">
        <f t="shared" si="13"/>
        <v>0x000001DA</v>
      </c>
      <c r="D153" s="15">
        <v>2</v>
      </c>
      <c r="E153" s="7" t="s">
        <v>564</v>
      </c>
      <c r="F153" s="15" t="s">
        <v>283</v>
      </c>
      <c r="G153" s="17" t="s">
        <v>0</v>
      </c>
      <c r="H153" s="15" t="s">
        <v>183</v>
      </c>
      <c r="I153" s="15" t="s">
        <v>183</v>
      </c>
      <c r="J153" s="15" t="s">
        <v>183</v>
      </c>
      <c r="K153" s="40" t="s">
        <v>476</v>
      </c>
      <c r="L153" s="46" t="s">
        <v>476</v>
      </c>
      <c r="M153" s="18" t="s">
        <v>275</v>
      </c>
      <c r="N153" s="31" t="s">
        <v>374</v>
      </c>
      <c r="O153" s="30" t="s">
        <v>373</v>
      </c>
      <c r="P153" s="39"/>
      <c r="Q153" s="39"/>
    </row>
    <row r="154" spans="1:17" s="3" customFormat="1" ht="30" x14ac:dyDescent="0.25">
      <c r="A154" s="4" t="s">
        <v>234</v>
      </c>
      <c r="B154" s="15">
        <f t="shared" si="7"/>
        <v>476</v>
      </c>
      <c r="C154" s="15" t="str">
        <f t="shared" si="13"/>
        <v>0x000001DC</v>
      </c>
      <c r="D154" s="15">
        <v>2</v>
      </c>
      <c r="E154" s="7" t="s">
        <v>565</v>
      </c>
      <c r="F154" s="15" t="s">
        <v>283</v>
      </c>
      <c r="G154" s="17" t="s">
        <v>0</v>
      </c>
      <c r="H154" s="15" t="s">
        <v>183</v>
      </c>
      <c r="I154" s="15" t="s">
        <v>183</v>
      </c>
      <c r="J154" s="15" t="s">
        <v>183</v>
      </c>
      <c r="K154" s="40" t="s">
        <v>476</v>
      </c>
      <c r="L154" s="46" t="s">
        <v>476</v>
      </c>
      <c r="M154" s="18" t="s">
        <v>275</v>
      </c>
      <c r="N154" s="31" t="s">
        <v>374</v>
      </c>
      <c r="O154" s="30" t="s">
        <v>373</v>
      </c>
      <c r="P154" s="39"/>
      <c r="Q154" s="39"/>
    </row>
    <row r="155" spans="1:17" s="3" customFormat="1" ht="30" x14ac:dyDescent="0.25">
      <c r="A155" s="4" t="s">
        <v>234</v>
      </c>
      <c r="B155" s="15">
        <f t="shared" si="7"/>
        <v>478</v>
      </c>
      <c r="C155" s="15" t="str">
        <f t="shared" si="13"/>
        <v>0x000001DE</v>
      </c>
      <c r="D155" s="15">
        <v>2</v>
      </c>
      <c r="E155" s="7" t="s">
        <v>566</v>
      </c>
      <c r="F155" s="15" t="s">
        <v>283</v>
      </c>
      <c r="G155" s="17" t="s">
        <v>0</v>
      </c>
      <c r="H155" s="15" t="s">
        <v>183</v>
      </c>
      <c r="I155" s="15" t="s">
        <v>183</v>
      </c>
      <c r="J155" s="15" t="s">
        <v>183</v>
      </c>
      <c r="K155" s="40" t="s">
        <v>476</v>
      </c>
      <c r="L155" s="46" t="s">
        <v>476</v>
      </c>
      <c r="M155" s="18" t="s">
        <v>275</v>
      </c>
      <c r="N155" s="31" t="s">
        <v>374</v>
      </c>
      <c r="O155" s="30" t="s">
        <v>373</v>
      </c>
      <c r="P155" s="39"/>
      <c r="Q155" s="39"/>
    </row>
    <row r="156" spans="1:17" s="3" customFormat="1" ht="30" x14ac:dyDescent="0.25">
      <c r="A156" s="4" t="s">
        <v>234</v>
      </c>
      <c r="B156" s="15">
        <f t="shared" si="7"/>
        <v>480</v>
      </c>
      <c r="C156" s="15" t="str">
        <f t="shared" si="13"/>
        <v>0x000001E0</v>
      </c>
      <c r="D156" s="15">
        <v>2</v>
      </c>
      <c r="E156" s="7" t="s">
        <v>567</v>
      </c>
      <c r="F156" s="15" t="s">
        <v>283</v>
      </c>
      <c r="G156" s="17" t="s">
        <v>0</v>
      </c>
      <c r="H156" s="15" t="s">
        <v>183</v>
      </c>
      <c r="I156" s="15" t="s">
        <v>183</v>
      </c>
      <c r="J156" s="15" t="s">
        <v>183</v>
      </c>
      <c r="K156" s="40" t="s">
        <v>476</v>
      </c>
      <c r="L156" s="46" t="s">
        <v>476</v>
      </c>
      <c r="M156" s="18" t="s">
        <v>275</v>
      </c>
      <c r="N156" s="31" t="s">
        <v>374</v>
      </c>
      <c r="O156" s="30" t="s">
        <v>373</v>
      </c>
      <c r="P156" s="39"/>
      <c r="Q156" s="39"/>
    </row>
    <row r="157" spans="1:17" s="3" customFormat="1" ht="30" x14ac:dyDescent="0.25">
      <c r="A157" s="4" t="s">
        <v>234</v>
      </c>
      <c r="B157" s="15">
        <f t="shared" si="7"/>
        <v>482</v>
      </c>
      <c r="C157" s="15" t="str">
        <f t="shared" si="13"/>
        <v>0x000001E2</v>
      </c>
      <c r="D157" s="15">
        <v>2</v>
      </c>
      <c r="E157" s="7" t="s">
        <v>568</v>
      </c>
      <c r="F157" s="15" t="s">
        <v>283</v>
      </c>
      <c r="G157" s="17" t="s">
        <v>0</v>
      </c>
      <c r="H157" s="15" t="s">
        <v>183</v>
      </c>
      <c r="I157" s="15" t="s">
        <v>183</v>
      </c>
      <c r="J157" s="15" t="s">
        <v>183</v>
      </c>
      <c r="K157" s="40" t="s">
        <v>476</v>
      </c>
      <c r="L157" s="46" t="s">
        <v>476</v>
      </c>
      <c r="M157" s="18" t="s">
        <v>275</v>
      </c>
      <c r="N157" s="31" t="s">
        <v>374</v>
      </c>
      <c r="O157" s="30" t="s">
        <v>373</v>
      </c>
      <c r="P157" s="39"/>
      <c r="Q157" s="39"/>
    </row>
    <row r="158" spans="1:17" s="3" customFormat="1" ht="30" x14ac:dyDescent="0.25">
      <c r="A158" s="4" t="s">
        <v>234</v>
      </c>
      <c r="B158" s="15">
        <f t="shared" si="7"/>
        <v>484</v>
      </c>
      <c r="C158" s="15" t="str">
        <f t="shared" si="13"/>
        <v>0x000001E4</v>
      </c>
      <c r="D158" s="15">
        <v>2</v>
      </c>
      <c r="E158" s="7" t="s">
        <v>569</v>
      </c>
      <c r="F158" s="15" t="s">
        <v>283</v>
      </c>
      <c r="G158" s="17" t="s">
        <v>0</v>
      </c>
      <c r="H158" s="15" t="s">
        <v>183</v>
      </c>
      <c r="I158" s="15" t="s">
        <v>183</v>
      </c>
      <c r="J158" s="15" t="s">
        <v>183</v>
      </c>
      <c r="K158" s="40" t="s">
        <v>476</v>
      </c>
      <c r="L158" s="46" t="s">
        <v>476</v>
      </c>
      <c r="M158" s="18" t="s">
        <v>275</v>
      </c>
      <c r="N158" s="31" t="s">
        <v>374</v>
      </c>
      <c r="O158" s="30" t="s">
        <v>373</v>
      </c>
      <c r="P158" s="39"/>
      <c r="Q158" s="39"/>
    </row>
    <row r="159" spans="1:17" s="3" customFormat="1" ht="30" x14ac:dyDescent="0.25">
      <c r="A159" s="4" t="s">
        <v>234</v>
      </c>
      <c r="B159" s="15">
        <f t="shared" si="7"/>
        <v>486</v>
      </c>
      <c r="C159" s="15" t="str">
        <f t="shared" si="13"/>
        <v>0x000001E6</v>
      </c>
      <c r="D159" s="15">
        <v>2</v>
      </c>
      <c r="E159" s="7" t="s">
        <v>570</v>
      </c>
      <c r="F159" s="15" t="s">
        <v>283</v>
      </c>
      <c r="G159" s="17" t="s">
        <v>0</v>
      </c>
      <c r="H159" s="15" t="s">
        <v>183</v>
      </c>
      <c r="I159" s="15" t="s">
        <v>183</v>
      </c>
      <c r="J159" s="15" t="s">
        <v>183</v>
      </c>
      <c r="K159" s="40" t="s">
        <v>476</v>
      </c>
      <c r="L159" s="46" t="s">
        <v>476</v>
      </c>
      <c r="M159" s="18" t="s">
        <v>275</v>
      </c>
      <c r="N159" s="31" t="s">
        <v>374</v>
      </c>
      <c r="O159" s="30" t="s">
        <v>373</v>
      </c>
      <c r="P159" s="39"/>
      <c r="Q159" s="39"/>
    </row>
    <row r="160" spans="1:17" s="3" customFormat="1" ht="30" x14ac:dyDescent="0.25">
      <c r="A160" s="4" t="s">
        <v>234</v>
      </c>
      <c r="B160" s="15">
        <f t="shared" si="7"/>
        <v>488</v>
      </c>
      <c r="C160" s="15" t="str">
        <f t="shared" si="13"/>
        <v>0x000001E8</v>
      </c>
      <c r="D160" s="15">
        <v>2</v>
      </c>
      <c r="E160" s="7" t="s">
        <v>571</v>
      </c>
      <c r="F160" s="15" t="s">
        <v>283</v>
      </c>
      <c r="G160" s="17" t="s">
        <v>0</v>
      </c>
      <c r="H160" s="15" t="s">
        <v>183</v>
      </c>
      <c r="I160" s="15" t="s">
        <v>183</v>
      </c>
      <c r="J160" s="15" t="s">
        <v>183</v>
      </c>
      <c r="K160" s="40" t="s">
        <v>476</v>
      </c>
      <c r="L160" s="46" t="s">
        <v>476</v>
      </c>
      <c r="M160" s="18" t="s">
        <v>275</v>
      </c>
      <c r="N160" s="31" t="s">
        <v>374</v>
      </c>
      <c r="O160" s="30" t="s">
        <v>373</v>
      </c>
      <c r="P160" s="39"/>
      <c r="Q160" s="39"/>
    </row>
    <row r="161" spans="1:17" s="3" customFormat="1" ht="30" x14ac:dyDescent="0.25">
      <c r="A161" s="4" t="s">
        <v>234</v>
      </c>
      <c r="B161" s="15">
        <f t="shared" si="7"/>
        <v>490</v>
      </c>
      <c r="C161" s="15" t="str">
        <f t="shared" si="13"/>
        <v>0x000001EA</v>
      </c>
      <c r="D161" s="15">
        <v>2</v>
      </c>
      <c r="E161" s="7" t="s">
        <v>572</v>
      </c>
      <c r="F161" s="15" t="s">
        <v>283</v>
      </c>
      <c r="G161" s="17" t="s">
        <v>0</v>
      </c>
      <c r="H161" s="15" t="s">
        <v>183</v>
      </c>
      <c r="I161" s="15" t="s">
        <v>183</v>
      </c>
      <c r="J161" s="15" t="s">
        <v>183</v>
      </c>
      <c r="K161" s="40" t="s">
        <v>476</v>
      </c>
      <c r="L161" s="46" t="s">
        <v>476</v>
      </c>
      <c r="M161" s="18" t="s">
        <v>275</v>
      </c>
      <c r="N161" s="31" t="s">
        <v>374</v>
      </c>
      <c r="O161" s="30" t="s">
        <v>373</v>
      </c>
      <c r="P161" s="39"/>
      <c r="Q161" s="39"/>
    </row>
    <row r="162" spans="1:17" s="3" customFormat="1" ht="30" x14ac:dyDescent="0.25">
      <c r="A162" s="4" t="s">
        <v>234</v>
      </c>
      <c r="B162" s="15">
        <f t="shared" si="7"/>
        <v>492</v>
      </c>
      <c r="C162" s="15" t="str">
        <f t="shared" si="13"/>
        <v>0x000001EC</v>
      </c>
      <c r="D162" s="15">
        <v>2</v>
      </c>
      <c r="E162" s="7" t="s">
        <v>573</v>
      </c>
      <c r="F162" s="15" t="s">
        <v>283</v>
      </c>
      <c r="G162" s="17" t="s">
        <v>0</v>
      </c>
      <c r="H162" s="15" t="s">
        <v>183</v>
      </c>
      <c r="I162" s="15" t="s">
        <v>183</v>
      </c>
      <c r="J162" s="15" t="s">
        <v>183</v>
      </c>
      <c r="K162" s="40" t="s">
        <v>476</v>
      </c>
      <c r="L162" s="46" t="s">
        <v>476</v>
      </c>
      <c r="M162" s="18" t="s">
        <v>275</v>
      </c>
      <c r="N162" s="31" t="s">
        <v>374</v>
      </c>
      <c r="O162" s="30" t="s">
        <v>373</v>
      </c>
      <c r="P162" s="39"/>
      <c r="Q162" s="39"/>
    </row>
    <row r="163" spans="1:17" s="3" customFormat="1" ht="30" x14ac:dyDescent="0.25">
      <c r="A163" s="4" t="s">
        <v>234</v>
      </c>
      <c r="B163" s="15">
        <f t="shared" si="7"/>
        <v>494</v>
      </c>
      <c r="C163" s="15" t="str">
        <f t="shared" si="13"/>
        <v>0x000001EE</v>
      </c>
      <c r="D163" s="15">
        <v>2</v>
      </c>
      <c r="E163" s="7" t="s">
        <v>574</v>
      </c>
      <c r="F163" s="15" t="s">
        <v>283</v>
      </c>
      <c r="G163" s="17" t="s">
        <v>0</v>
      </c>
      <c r="H163" s="15" t="s">
        <v>183</v>
      </c>
      <c r="I163" s="15" t="s">
        <v>183</v>
      </c>
      <c r="J163" s="15" t="s">
        <v>183</v>
      </c>
      <c r="K163" s="40" t="s">
        <v>476</v>
      </c>
      <c r="L163" s="46" t="s">
        <v>476</v>
      </c>
      <c r="M163" s="18" t="s">
        <v>275</v>
      </c>
      <c r="N163" s="31" t="s">
        <v>374</v>
      </c>
      <c r="O163" s="30" t="s">
        <v>373</v>
      </c>
      <c r="P163" s="39"/>
      <c r="Q163" s="39"/>
    </row>
    <row r="164" spans="1:17" s="3" customFormat="1" ht="30" x14ac:dyDescent="0.25">
      <c r="A164" s="4" t="s">
        <v>234</v>
      </c>
      <c r="B164" s="15">
        <f t="shared" si="7"/>
        <v>496</v>
      </c>
      <c r="C164" s="15" t="str">
        <f t="shared" si="13"/>
        <v>0x000001F0</v>
      </c>
      <c r="D164" s="15">
        <v>2</v>
      </c>
      <c r="E164" s="7" t="s">
        <v>575</v>
      </c>
      <c r="F164" s="15" t="s">
        <v>283</v>
      </c>
      <c r="G164" s="17" t="s">
        <v>0</v>
      </c>
      <c r="H164" s="15" t="s">
        <v>183</v>
      </c>
      <c r="I164" s="15" t="s">
        <v>183</v>
      </c>
      <c r="J164" s="15" t="s">
        <v>183</v>
      </c>
      <c r="K164" s="40" t="s">
        <v>476</v>
      </c>
      <c r="L164" s="46" t="s">
        <v>476</v>
      </c>
      <c r="M164" s="18" t="s">
        <v>275</v>
      </c>
      <c r="N164" s="31" t="s">
        <v>374</v>
      </c>
      <c r="O164" s="30" t="s">
        <v>373</v>
      </c>
      <c r="P164" s="39"/>
      <c r="Q164" s="39"/>
    </row>
    <row r="165" spans="1:17" s="3" customFormat="1" ht="30" x14ac:dyDescent="0.25">
      <c r="A165" s="4" t="s">
        <v>234</v>
      </c>
      <c r="B165" s="15">
        <f t="shared" si="7"/>
        <v>498</v>
      </c>
      <c r="C165" s="15" t="str">
        <f t="shared" si="13"/>
        <v>0x000001F2</v>
      </c>
      <c r="D165" s="15">
        <v>2</v>
      </c>
      <c r="E165" s="7" t="s">
        <v>576</v>
      </c>
      <c r="F165" s="15" t="s">
        <v>283</v>
      </c>
      <c r="G165" s="17" t="s">
        <v>0</v>
      </c>
      <c r="H165" s="15" t="s">
        <v>183</v>
      </c>
      <c r="I165" s="15" t="s">
        <v>183</v>
      </c>
      <c r="J165" s="15" t="s">
        <v>183</v>
      </c>
      <c r="K165" s="40" t="s">
        <v>476</v>
      </c>
      <c r="L165" s="46" t="s">
        <v>476</v>
      </c>
      <c r="M165" s="18" t="s">
        <v>275</v>
      </c>
      <c r="N165" s="31" t="s">
        <v>374</v>
      </c>
      <c r="O165" s="30" t="s">
        <v>373</v>
      </c>
      <c r="P165" s="39"/>
      <c r="Q165" s="39"/>
    </row>
    <row r="166" spans="1:17" s="3" customFormat="1" ht="30" x14ac:dyDescent="0.25">
      <c r="A166" s="4" t="s">
        <v>234</v>
      </c>
      <c r="B166" s="15">
        <f t="shared" si="7"/>
        <v>500</v>
      </c>
      <c r="C166" s="15" t="str">
        <f t="shared" si="13"/>
        <v>0x000001F4</v>
      </c>
      <c r="D166" s="15">
        <v>2</v>
      </c>
      <c r="E166" s="7" t="s">
        <v>577</v>
      </c>
      <c r="F166" s="15" t="s">
        <v>283</v>
      </c>
      <c r="G166" s="17" t="s">
        <v>0</v>
      </c>
      <c r="H166" s="15" t="s">
        <v>183</v>
      </c>
      <c r="I166" s="15" t="s">
        <v>183</v>
      </c>
      <c r="J166" s="15" t="s">
        <v>183</v>
      </c>
      <c r="K166" s="40" t="s">
        <v>476</v>
      </c>
      <c r="L166" s="46" t="s">
        <v>476</v>
      </c>
      <c r="M166" s="18" t="s">
        <v>275</v>
      </c>
      <c r="N166" s="31" t="s">
        <v>374</v>
      </c>
      <c r="O166" s="30" t="s">
        <v>373</v>
      </c>
      <c r="P166" s="39"/>
      <c r="Q166" s="39"/>
    </row>
    <row r="167" spans="1:17" s="3" customFormat="1" ht="30" x14ac:dyDescent="0.25">
      <c r="A167" s="4" t="s">
        <v>234</v>
      </c>
      <c r="B167" s="15">
        <f t="shared" si="7"/>
        <v>502</v>
      </c>
      <c r="C167" s="15" t="str">
        <f t="shared" si="13"/>
        <v>0x000001F6</v>
      </c>
      <c r="D167" s="15">
        <v>2</v>
      </c>
      <c r="E167" s="7" t="s">
        <v>578</v>
      </c>
      <c r="F167" s="15" t="s">
        <v>283</v>
      </c>
      <c r="G167" s="17" t="s">
        <v>0</v>
      </c>
      <c r="H167" s="15" t="s">
        <v>183</v>
      </c>
      <c r="I167" s="15" t="s">
        <v>183</v>
      </c>
      <c r="J167" s="15" t="s">
        <v>183</v>
      </c>
      <c r="K167" s="40" t="s">
        <v>476</v>
      </c>
      <c r="L167" s="46" t="s">
        <v>476</v>
      </c>
      <c r="M167" s="18" t="s">
        <v>275</v>
      </c>
      <c r="N167" s="31" t="s">
        <v>374</v>
      </c>
      <c r="O167" s="30" t="s">
        <v>373</v>
      </c>
      <c r="P167" s="39"/>
      <c r="Q167" s="39"/>
    </row>
    <row r="168" spans="1:17" s="3" customFormat="1" ht="30" x14ac:dyDescent="0.25">
      <c r="A168" s="4" t="s">
        <v>234</v>
      </c>
      <c r="B168" s="15">
        <f t="shared" si="7"/>
        <v>504</v>
      </c>
      <c r="C168" s="15" t="str">
        <f t="shared" si="13"/>
        <v>0x000001F8</v>
      </c>
      <c r="D168" s="15">
        <v>2</v>
      </c>
      <c r="E168" s="7" t="s">
        <v>579</v>
      </c>
      <c r="F168" s="15" t="s">
        <v>283</v>
      </c>
      <c r="G168" s="17" t="s">
        <v>0</v>
      </c>
      <c r="H168" s="15" t="s">
        <v>183</v>
      </c>
      <c r="I168" s="15" t="s">
        <v>183</v>
      </c>
      <c r="J168" s="15" t="s">
        <v>183</v>
      </c>
      <c r="K168" s="40" t="s">
        <v>476</v>
      </c>
      <c r="L168" s="46" t="s">
        <v>476</v>
      </c>
      <c r="M168" s="18" t="s">
        <v>275</v>
      </c>
      <c r="N168" s="31" t="s">
        <v>374</v>
      </c>
      <c r="O168" s="30" t="s">
        <v>373</v>
      </c>
      <c r="P168" s="39"/>
      <c r="Q168" s="39"/>
    </row>
    <row r="169" spans="1:17" s="3" customFormat="1" ht="30" x14ac:dyDescent="0.25">
      <c r="A169" s="4" t="s">
        <v>234</v>
      </c>
      <c r="B169" s="15">
        <f t="shared" si="7"/>
        <v>506</v>
      </c>
      <c r="C169" s="15" t="str">
        <f t="shared" si="13"/>
        <v>0x000001FA</v>
      </c>
      <c r="D169" s="15">
        <v>2</v>
      </c>
      <c r="E169" s="7" t="s">
        <v>580</v>
      </c>
      <c r="F169" s="15" t="s">
        <v>283</v>
      </c>
      <c r="G169" s="17" t="s">
        <v>0</v>
      </c>
      <c r="H169" s="15" t="s">
        <v>183</v>
      </c>
      <c r="I169" s="15" t="s">
        <v>183</v>
      </c>
      <c r="J169" s="15" t="s">
        <v>183</v>
      </c>
      <c r="K169" s="40" t="s">
        <v>476</v>
      </c>
      <c r="L169" s="46" t="s">
        <v>476</v>
      </c>
      <c r="M169" s="18" t="s">
        <v>275</v>
      </c>
      <c r="N169" s="31" t="s">
        <v>374</v>
      </c>
      <c r="O169" s="30" t="s">
        <v>373</v>
      </c>
      <c r="P169" s="39"/>
      <c r="Q169" s="39"/>
    </row>
    <row r="170" spans="1:17" s="3" customFormat="1" ht="30" x14ac:dyDescent="0.25">
      <c r="A170" s="4" t="s">
        <v>234</v>
      </c>
      <c r="B170" s="15">
        <f t="shared" si="7"/>
        <v>508</v>
      </c>
      <c r="C170" s="15" t="str">
        <f t="shared" si="13"/>
        <v>0x000001FC</v>
      </c>
      <c r="D170" s="15">
        <v>2</v>
      </c>
      <c r="E170" s="7" t="s">
        <v>581</v>
      </c>
      <c r="F170" s="15" t="s">
        <v>283</v>
      </c>
      <c r="G170" s="17" t="s">
        <v>0</v>
      </c>
      <c r="H170" s="15" t="s">
        <v>183</v>
      </c>
      <c r="I170" s="15" t="s">
        <v>183</v>
      </c>
      <c r="J170" s="15" t="s">
        <v>183</v>
      </c>
      <c r="K170" s="40" t="s">
        <v>476</v>
      </c>
      <c r="L170" s="46" t="s">
        <v>476</v>
      </c>
      <c r="M170" s="18" t="s">
        <v>275</v>
      </c>
      <c r="N170" s="31" t="s">
        <v>374</v>
      </c>
      <c r="O170" s="30" t="s">
        <v>373</v>
      </c>
      <c r="P170" s="39"/>
      <c r="Q170" s="39"/>
    </row>
    <row r="171" spans="1:17" s="3" customFormat="1" ht="30" x14ac:dyDescent="0.25">
      <c r="A171" s="4" t="s">
        <v>234</v>
      </c>
      <c r="B171" s="15">
        <f t="shared" si="7"/>
        <v>510</v>
      </c>
      <c r="C171" s="15" t="str">
        <f t="shared" si="13"/>
        <v>0x000001FE</v>
      </c>
      <c r="D171" s="15">
        <v>2</v>
      </c>
      <c r="E171" s="7" t="s">
        <v>582</v>
      </c>
      <c r="F171" s="15" t="s">
        <v>283</v>
      </c>
      <c r="G171" s="17" t="s">
        <v>0</v>
      </c>
      <c r="H171" s="15" t="s">
        <v>183</v>
      </c>
      <c r="I171" s="15" t="s">
        <v>183</v>
      </c>
      <c r="J171" s="15" t="s">
        <v>183</v>
      </c>
      <c r="K171" s="40" t="s">
        <v>476</v>
      </c>
      <c r="L171" s="46" t="s">
        <v>476</v>
      </c>
      <c r="M171" s="18" t="s">
        <v>275</v>
      </c>
      <c r="N171" s="31" t="s">
        <v>374</v>
      </c>
      <c r="O171" s="30" t="s">
        <v>373</v>
      </c>
      <c r="P171" s="39"/>
      <c r="Q171" s="39"/>
    </row>
    <row r="172" spans="1:17" s="3" customFormat="1" ht="30" x14ac:dyDescent="0.25">
      <c r="A172" s="4" t="s">
        <v>234</v>
      </c>
      <c r="B172" s="15">
        <f t="shared" si="7"/>
        <v>512</v>
      </c>
      <c r="C172" s="15" t="str">
        <f t="shared" si="13"/>
        <v>0x00000200</v>
      </c>
      <c r="D172" s="15">
        <v>2</v>
      </c>
      <c r="E172" s="7" t="s">
        <v>583</v>
      </c>
      <c r="F172" s="15" t="s">
        <v>283</v>
      </c>
      <c r="G172" s="17" t="s">
        <v>0</v>
      </c>
      <c r="H172" s="15" t="s">
        <v>183</v>
      </c>
      <c r="I172" s="15" t="s">
        <v>183</v>
      </c>
      <c r="J172" s="15" t="s">
        <v>183</v>
      </c>
      <c r="K172" s="40" t="s">
        <v>476</v>
      </c>
      <c r="L172" s="46" t="s">
        <v>476</v>
      </c>
      <c r="M172" s="18" t="s">
        <v>275</v>
      </c>
      <c r="N172" s="31" t="s">
        <v>374</v>
      </c>
      <c r="O172" s="30" t="s">
        <v>373</v>
      </c>
      <c r="P172" s="39"/>
      <c r="Q172" s="39"/>
    </row>
    <row r="173" spans="1:17" s="3" customFormat="1" ht="30" x14ac:dyDescent="0.25">
      <c r="A173" s="4" t="s">
        <v>234</v>
      </c>
      <c r="B173" s="15">
        <f t="shared" si="7"/>
        <v>514</v>
      </c>
      <c r="C173" s="15" t="str">
        <f t="shared" si="13"/>
        <v>0x00000202</v>
      </c>
      <c r="D173" s="15">
        <v>2</v>
      </c>
      <c r="E173" s="7" t="s">
        <v>584</v>
      </c>
      <c r="F173" s="15" t="s">
        <v>283</v>
      </c>
      <c r="G173" s="17" t="s">
        <v>0</v>
      </c>
      <c r="H173" s="15" t="s">
        <v>183</v>
      </c>
      <c r="I173" s="15" t="s">
        <v>183</v>
      </c>
      <c r="J173" s="15" t="s">
        <v>183</v>
      </c>
      <c r="K173" s="40" t="s">
        <v>476</v>
      </c>
      <c r="L173" s="46" t="s">
        <v>476</v>
      </c>
      <c r="M173" s="18" t="s">
        <v>275</v>
      </c>
      <c r="N173" s="31" t="s">
        <v>374</v>
      </c>
      <c r="O173" s="30" t="s">
        <v>373</v>
      </c>
      <c r="P173" s="39"/>
      <c r="Q173" s="39"/>
    </row>
    <row r="174" spans="1:17" s="3" customFormat="1" ht="30" x14ac:dyDescent="0.25">
      <c r="A174" s="4" t="s">
        <v>234</v>
      </c>
      <c r="B174" s="15">
        <f t="shared" si="7"/>
        <v>516</v>
      </c>
      <c r="C174" s="15" t="str">
        <f t="shared" si="13"/>
        <v>0x00000204</v>
      </c>
      <c r="D174" s="15">
        <v>2</v>
      </c>
      <c r="E174" s="7" t="s">
        <v>585</v>
      </c>
      <c r="F174" s="15" t="s">
        <v>283</v>
      </c>
      <c r="G174" s="17" t="s">
        <v>0</v>
      </c>
      <c r="H174" s="15" t="s">
        <v>183</v>
      </c>
      <c r="I174" s="15" t="s">
        <v>183</v>
      </c>
      <c r="J174" s="15" t="s">
        <v>183</v>
      </c>
      <c r="K174" s="40" t="s">
        <v>476</v>
      </c>
      <c r="L174" s="46" t="s">
        <v>476</v>
      </c>
      <c r="M174" s="18" t="s">
        <v>275</v>
      </c>
      <c r="N174" s="31" t="s">
        <v>374</v>
      </c>
      <c r="O174" s="30" t="s">
        <v>373</v>
      </c>
      <c r="P174" s="39"/>
      <c r="Q174" s="39"/>
    </row>
    <row r="175" spans="1:17" s="3" customFormat="1" ht="30" x14ac:dyDescent="0.25">
      <c r="A175" s="4" t="s">
        <v>234</v>
      </c>
      <c r="B175" s="15">
        <f t="shared" si="7"/>
        <v>518</v>
      </c>
      <c r="C175" s="15" t="str">
        <f t="shared" si="13"/>
        <v>0x00000206</v>
      </c>
      <c r="D175" s="15">
        <v>2</v>
      </c>
      <c r="E175" s="7" t="s">
        <v>586</v>
      </c>
      <c r="F175" s="15" t="s">
        <v>283</v>
      </c>
      <c r="G175" s="17" t="s">
        <v>0</v>
      </c>
      <c r="H175" s="15" t="s">
        <v>183</v>
      </c>
      <c r="I175" s="15" t="s">
        <v>183</v>
      </c>
      <c r="J175" s="15" t="s">
        <v>183</v>
      </c>
      <c r="K175" s="40" t="s">
        <v>476</v>
      </c>
      <c r="L175" s="46" t="s">
        <v>476</v>
      </c>
      <c r="M175" s="18" t="s">
        <v>275</v>
      </c>
      <c r="N175" s="31" t="s">
        <v>374</v>
      </c>
      <c r="O175" s="30" t="s">
        <v>373</v>
      </c>
      <c r="P175" s="39"/>
      <c r="Q175" s="39"/>
    </row>
    <row r="176" spans="1:17" s="3" customFormat="1" ht="30" x14ac:dyDescent="0.25">
      <c r="A176" s="4" t="s">
        <v>234</v>
      </c>
      <c r="B176" s="15">
        <f t="shared" si="7"/>
        <v>520</v>
      </c>
      <c r="C176" s="15" t="str">
        <f t="shared" si="13"/>
        <v>0x00000208</v>
      </c>
      <c r="D176" s="15">
        <v>2</v>
      </c>
      <c r="E176" s="7" t="s">
        <v>587</v>
      </c>
      <c r="F176" s="15" t="s">
        <v>283</v>
      </c>
      <c r="G176" s="17" t="s">
        <v>0</v>
      </c>
      <c r="H176" s="15" t="s">
        <v>183</v>
      </c>
      <c r="I176" s="15" t="s">
        <v>183</v>
      </c>
      <c r="J176" s="15" t="s">
        <v>183</v>
      </c>
      <c r="K176" s="40" t="s">
        <v>476</v>
      </c>
      <c r="L176" s="46" t="s">
        <v>476</v>
      </c>
      <c r="M176" s="18" t="s">
        <v>275</v>
      </c>
      <c r="N176" s="31" t="s">
        <v>374</v>
      </c>
      <c r="O176" s="30" t="s">
        <v>373</v>
      </c>
      <c r="P176" s="39"/>
      <c r="Q176" s="39"/>
    </row>
    <row r="177" spans="1:17" s="3" customFormat="1" ht="30" x14ac:dyDescent="0.25">
      <c r="A177" s="4" t="s">
        <v>234</v>
      </c>
      <c r="B177" s="15">
        <f t="shared" si="7"/>
        <v>522</v>
      </c>
      <c r="C177" s="15" t="str">
        <f t="shared" ref="C177:C208" si="14">CONCATENATE("0x",DEC2HEX(B177,8))</f>
        <v>0x0000020A</v>
      </c>
      <c r="D177" s="15">
        <v>2</v>
      </c>
      <c r="E177" s="7" t="s">
        <v>588</v>
      </c>
      <c r="F177" s="15" t="s">
        <v>283</v>
      </c>
      <c r="G177" s="17" t="s">
        <v>0</v>
      </c>
      <c r="H177" s="15" t="s">
        <v>183</v>
      </c>
      <c r="I177" s="15" t="s">
        <v>183</v>
      </c>
      <c r="J177" s="15" t="s">
        <v>183</v>
      </c>
      <c r="K177" s="40" t="s">
        <v>476</v>
      </c>
      <c r="L177" s="46" t="s">
        <v>476</v>
      </c>
      <c r="M177" s="18" t="s">
        <v>275</v>
      </c>
      <c r="N177" s="31" t="s">
        <v>374</v>
      </c>
      <c r="O177" s="30" t="s">
        <v>373</v>
      </c>
      <c r="P177" s="39"/>
      <c r="Q177" s="39"/>
    </row>
    <row r="178" spans="1:17" s="3" customFormat="1" ht="30" x14ac:dyDescent="0.25">
      <c r="A178" s="4" t="s">
        <v>234</v>
      </c>
      <c r="B178" s="15">
        <f t="shared" si="7"/>
        <v>524</v>
      </c>
      <c r="C178" s="15" t="str">
        <f t="shared" si="14"/>
        <v>0x0000020C</v>
      </c>
      <c r="D178" s="15">
        <v>2</v>
      </c>
      <c r="E178" s="7" t="s">
        <v>589</v>
      </c>
      <c r="F178" s="15" t="s">
        <v>283</v>
      </c>
      <c r="G178" s="17" t="s">
        <v>0</v>
      </c>
      <c r="H178" s="15" t="s">
        <v>183</v>
      </c>
      <c r="I178" s="15" t="s">
        <v>183</v>
      </c>
      <c r="J178" s="15" t="s">
        <v>183</v>
      </c>
      <c r="K178" s="40" t="s">
        <v>476</v>
      </c>
      <c r="L178" s="46" t="s">
        <v>476</v>
      </c>
      <c r="M178" s="18" t="s">
        <v>275</v>
      </c>
      <c r="N178" s="31" t="s">
        <v>374</v>
      </c>
      <c r="O178" s="30" t="s">
        <v>373</v>
      </c>
      <c r="P178" s="39"/>
      <c r="Q178" s="39"/>
    </row>
    <row r="179" spans="1:17" s="3" customFormat="1" ht="30" x14ac:dyDescent="0.25">
      <c r="A179" s="4" t="s">
        <v>234</v>
      </c>
      <c r="B179" s="15">
        <f t="shared" si="7"/>
        <v>526</v>
      </c>
      <c r="C179" s="15" t="str">
        <f t="shared" si="14"/>
        <v>0x0000020E</v>
      </c>
      <c r="D179" s="15">
        <v>2</v>
      </c>
      <c r="E179" s="7" t="s">
        <v>590</v>
      </c>
      <c r="F179" s="15" t="s">
        <v>283</v>
      </c>
      <c r="G179" s="17" t="s">
        <v>0</v>
      </c>
      <c r="H179" s="15" t="s">
        <v>183</v>
      </c>
      <c r="I179" s="15" t="s">
        <v>183</v>
      </c>
      <c r="J179" s="15" t="s">
        <v>183</v>
      </c>
      <c r="K179" s="40" t="s">
        <v>476</v>
      </c>
      <c r="L179" s="46" t="s">
        <v>476</v>
      </c>
      <c r="M179" s="18" t="s">
        <v>275</v>
      </c>
      <c r="N179" s="31" t="s">
        <v>374</v>
      </c>
      <c r="O179" s="30" t="s">
        <v>373</v>
      </c>
      <c r="P179" s="39"/>
      <c r="Q179" s="39"/>
    </row>
    <row r="180" spans="1:17" s="3" customFormat="1" ht="30" x14ac:dyDescent="0.25">
      <c r="A180" s="4" t="s">
        <v>234</v>
      </c>
      <c r="B180" s="15">
        <f t="shared" si="7"/>
        <v>528</v>
      </c>
      <c r="C180" s="15" t="str">
        <f t="shared" si="14"/>
        <v>0x00000210</v>
      </c>
      <c r="D180" s="15">
        <v>2</v>
      </c>
      <c r="E180" s="7" t="s">
        <v>591</v>
      </c>
      <c r="F180" s="15" t="s">
        <v>283</v>
      </c>
      <c r="G180" s="17" t="s">
        <v>0</v>
      </c>
      <c r="H180" s="15" t="s">
        <v>183</v>
      </c>
      <c r="I180" s="15" t="s">
        <v>183</v>
      </c>
      <c r="J180" s="15" t="s">
        <v>183</v>
      </c>
      <c r="K180" s="40" t="s">
        <v>476</v>
      </c>
      <c r="L180" s="46" t="s">
        <v>476</v>
      </c>
      <c r="M180" s="18" t="s">
        <v>275</v>
      </c>
      <c r="N180" s="31" t="s">
        <v>374</v>
      </c>
      <c r="O180" s="30" t="s">
        <v>373</v>
      </c>
      <c r="P180" s="39"/>
      <c r="Q180" s="39"/>
    </row>
    <row r="181" spans="1:17" s="3" customFormat="1" ht="30" x14ac:dyDescent="0.25">
      <c r="A181" s="4" t="s">
        <v>234</v>
      </c>
      <c r="B181" s="15">
        <f t="shared" si="7"/>
        <v>530</v>
      </c>
      <c r="C181" s="15" t="str">
        <f t="shared" si="14"/>
        <v>0x00000212</v>
      </c>
      <c r="D181" s="15">
        <v>2</v>
      </c>
      <c r="E181" s="7" t="s">
        <v>592</v>
      </c>
      <c r="F181" s="15" t="s">
        <v>283</v>
      </c>
      <c r="G181" s="17" t="s">
        <v>0</v>
      </c>
      <c r="H181" s="15" t="s">
        <v>183</v>
      </c>
      <c r="I181" s="15" t="s">
        <v>183</v>
      </c>
      <c r="J181" s="15" t="s">
        <v>183</v>
      </c>
      <c r="K181" s="40" t="s">
        <v>476</v>
      </c>
      <c r="L181" s="46" t="s">
        <v>476</v>
      </c>
      <c r="M181" s="18" t="s">
        <v>275</v>
      </c>
      <c r="N181" s="31" t="s">
        <v>374</v>
      </c>
      <c r="O181" s="30" t="s">
        <v>373</v>
      </c>
      <c r="P181" s="39"/>
      <c r="Q181" s="39"/>
    </row>
    <row r="182" spans="1:17" s="3" customFormat="1" ht="30" x14ac:dyDescent="0.25">
      <c r="A182" s="4" t="s">
        <v>234</v>
      </c>
      <c r="B182" s="15">
        <f t="shared" si="7"/>
        <v>532</v>
      </c>
      <c r="C182" s="15" t="str">
        <f t="shared" si="14"/>
        <v>0x00000214</v>
      </c>
      <c r="D182" s="15">
        <v>2</v>
      </c>
      <c r="E182" s="7" t="s">
        <v>593</v>
      </c>
      <c r="F182" s="15" t="s">
        <v>283</v>
      </c>
      <c r="G182" s="17" t="s">
        <v>0</v>
      </c>
      <c r="H182" s="15" t="s">
        <v>183</v>
      </c>
      <c r="I182" s="15" t="s">
        <v>183</v>
      </c>
      <c r="J182" s="15" t="s">
        <v>183</v>
      </c>
      <c r="K182" s="40" t="s">
        <v>476</v>
      </c>
      <c r="L182" s="46" t="s">
        <v>476</v>
      </c>
      <c r="M182" s="18" t="s">
        <v>275</v>
      </c>
      <c r="N182" s="31" t="s">
        <v>374</v>
      </c>
      <c r="O182" s="30" t="s">
        <v>373</v>
      </c>
      <c r="P182" s="39"/>
      <c r="Q182" s="39"/>
    </row>
    <row r="183" spans="1:17" s="3" customFormat="1" ht="30" x14ac:dyDescent="0.25">
      <c r="A183" s="4" t="s">
        <v>234</v>
      </c>
      <c r="B183" s="15">
        <f t="shared" si="7"/>
        <v>534</v>
      </c>
      <c r="C183" s="15" t="str">
        <f t="shared" si="14"/>
        <v>0x00000216</v>
      </c>
      <c r="D183" s="15">
        <v>2</v>
      </c>
      <c r="E183" s="7" t="s">
        <v>594</v>
      </c>
      <c r="F183" s="15" t="s">
        <v>283</v>
      </c>
      <c r="G183" s="17" t="s">
        <v>0</v>
      </c>
      <c r="H183" s="15" t="s">
        <v>183</v>
      </c>
      <c r="I183" s="15" t="s">
        <v>183</v>
      </c>
      <c r="J183" s="15" t="s">
        <v>183</v>
      </c>
      <c r="K183" s="40" t="s">
        <v>476</v>
      </c>
      <c r="L183" s="46" t="s">
        <v>476</v>
      </c>
      <c r="M183" s="18" t="s">
        <v>275</v>
      </c>
      <c r="N183" s="31" t="s">
        <v>374</v>
      </c>
      <c r="O183" s="30" t="s">
        <v>373</v>
      </c>
      <c r="P183" s="39"/>
      <c r="Q183" s="39"/>
    </row>
    <row r="184" spans="1:17" s="3" customFormat="1" ht="30" x14ac:dyDescent="0.25">
      <c r="A184" s="4" t="s">
        <v>234</v>
      </c>
      <c r="B184" s="15">
        <f t="shared" si="7"/>
        <v>536</v>
      </c>
      <c r="C184" s="15" t="str">
        <f t="shared" si="14"/>
        <v>0x00000218</v>
      </c>
      <c r="D184" s="15">
        <v>2</v>
      </c>
      <c r="E184" s="7" t="s">
        <v>595</v>
      </c>
      <c r="F184" s="15" t="s">
        <v>283</v>
      </c>
      <c r="G184" s="17" t="s">
        <v>0</v>
      </c>
      <c r="H184" s="15" t="s">
        <v>183</v>
      </c>
      <c r="I184" s="15" t="s">
        <v>183</v>
      </c>
      <c r="J184" s="15" t="s">
        <v>183</v>
      </c>
      <c r="K184" s="40" t="s">
        <v>476</v>
      </c>
      <c r="L184" s="46" t="s">
        <v>476</v>
      </c>
      <c r="M184" s="18" t="s">
        <v>275</v>
      </c>
      <c r="N184" s="31" t="s">
        <v>374</v>
      </c>
      <c r="O184" s="30" t="s">
        <v>373</v>
      </c>
      <c r="P184" s="39"/>
      <c r="Q184" s="39"/>
    </row>
    <row r="185" spans="1:17" s="3" customFormat="1" ht="30" x14ac:dyDescent="0.25">
      <c r="A185" s="4" t="s">
        <v>234</v>
      </c>
      <c r="B185" s="15">
        <f t="shared" si="7"/>
        <v>538</v>
      </c>
      <c r="C185" s="15" t="str">
        <f t="shared" si="14"/>
        <v>0x0000021A</v>
      </c>
      <c r="D185" s="15">
        <v>2</v>
      </c>
      <c r="E185" s="7" t="s">
        <v>596</v>
      </c>
      <c r="F185" s="15" t="s">
        <v>283</v>
      </c>
      <c r="G185" s="17" t="s">
        <v>0</v>
      </c>
      <c r="H185" s="15" t="s">
        <v>183</v>
      </c>
      <c r="I185" s="15" t="s">
        <v>183</v>
      </c>
      <c r="J185" s="15" t="s">
        <v>183</v>
      </c>
      <c r="K185" s="40" t="s">
        <v>476</v>
      </c>
      <c r="L185" s="46" t="s">
        <v>476</v>
      </c>
      <c r="M185" s="18" t="s">
        <v>275</v>
      </c>
      <c r="N185" s="31" t="s">
        <v>374</v>
      </c>
      <c r="O185" s="30" t="s">
        <v>373</v>
      </c>
      <c r="P185" s="39"/>
      <c r="Q185" s="39"/>
    </row>
    <row r="186" spans="1:17" s="3" customFormat="1" ht="30" x14ac:dyDescent="0.25">
      <c r="A186" s="4" t="s">
        <v>234</v>
      </c>
      <c r="B186" s="15">
        <f t="shared" si="7"/>
        <v>540</v>
      </c>
      <c r="C186" s="15" t="str">
        <f t="shared" si="14"/>
        <v>0x0000021C</v>
      </c>
      <c r="D186" s="15">
        <v>2</v>
      </c>
      <c r="E186" s="7" t="s">
        <v>597</v>
      </c>
      <c r="F186" s="15" t="s">
        <v>283</v>
      </c>
      <c r="G186" s="17" t="s">
        <v>0</v>
      </c>
      <c r="H186" s="15" t="s">
        <v>183</v>
      </c>
      <c r="I186" s="15" t="s">
        <v>183</v>
      </c>
      <c r="J186" s="15" t="s">
        <v>183</v>
      </c>
      <c r="K186" s="40" t="s">
        <v>476</v>
      </c>
      <c r="L186" s="46" t="s">
        <v>476</v>
      </c>
      <c r="M186" s="18" t="s">
        <v>275</v>
      </c>
      <c r="N186" s="31" t="s">
        <v>374</v>
      </c>
      <c r="O186" s="30" t="s">
        <v>373</v>
      </c>
      <c r="P186" s="39"/>
      <c r="Q186" s="39"/>
    </row>
    <row r="187" spans="1:17" s="3" customFormat="1" ht="30" x14ac:dyDescent="0.25">
      <c r="A187" s="4" t="s">
        <v>234</v>
      </c>
      <c r="B187" s="15">
        <f t="shared" si="7"/>
        <v>542</v>
      </c>
      <c r="C187" s="15" t="str">
        <f t="shared" si="14"/>
        <v>0x0000021E</v>
      </c>
      <c r="D187" s="15">
        <v>2</v>
      </c>
      <c r="E187" s="7" t="s">
        <v>598</v>
      </c>
      <c r="F187" s="15" t="s">
        <v>283</v>
      </c>
      <c r="G187" s="17" t="s">
        <v>0</v>
      </c>
      <c r="H187" s="15" t="s">
        <v>183</v>
      </c>
      <c r="I187" s="15" t="s">
        <v>183</v>
      </c>
      <c r="J187" s="15" t="s">
        <v>183</v>
      </c>
      <c r="K187" s="40" t="s">
        <v>476</v>
      </c>
      <c r="L187" s="46" t="s">
        <v>476</v>
      </c>
      <c r="M187" s="18" t="s">
        <v>275</v>
      </c>
      <c r="N187" s="31" t="s">
        <v>374</v>
      </c>
      <c r="O187" s="30" t="s">
        <v>373</v>
      </c>
      <c r="P187" s="39"/>
      <c r="Q187" s="39"/>
    </row>
    <row r="188" spans="1:17" s="3" customFormat="1" ht="30" x14ac:dyDescent="0.25">
      <c r="A188" s="4" t="s">
        <v>234</v>
      </c>
      <c r="B188" s="15">
        <f t="shared" si="7"/>
        <v>544</v>
      </c>
      <c r="C188" s="15" t="str">
        <f t="shared" si="14"/>
        <v>0x00000220</v>
      </c>
      <c r="D188" s="15">
        <v>2</v>
      </c>
      <c r="E188" s="7" t="s">
        <v>599</v>
      </c>
      <c r="F188" s="15" t="s">
        <v>283</v>
      </c>
      <c r="G188" s="17" t="s">
        <v>0</v>
      </c>
      <c r="H188" s="15" t="s">
        <v>183</v>
      </c>
      <c r="I188" s="15" t="s">
        <v>183</v>
      </c>
      <c r="J188" s="15" t="s">
        <v>183</v>
      </c>
      <c r="K188" s="40" t="s">
        <v>476</v>
      </c>
      <c r="L188" s="46" t="s">
        <v>476</v>
      </c>
      <c r="M188" s="18" t="s">
        <v>275</v>
      </c>
      <c r="N188" s="31" t="s">
        <v>374</v>
      </c>
      <c r="O188" s="30" t="s">
        <v>373</v>
      </c>
      <c r="P188" s="39"/>
      <c r="Q188" s="39"/>
    </row>
    <row r="189" spans="1:17" s="3" customFormat="1" ht="30" x14ac:dyDescent="0.25">
      <c r="A189" s="4" t="s">
        <v>234</v>
      </c>
      <c r="B189" s="15">
        <f t="shared" si="7"/>
        <v>546</v>
      </c>
      <c r="C189" s="15" t="str">
        <f t="shared" si="14"/>
        <v>0x00000222</v>
      </c>
      <c r="D189" s="15">
        <v>2</v>
      </c>
      <c r="E189" s="7" t="s">
        <v>600</v>
      </c>
      <c r="F189" s="15" t="s">
        <v>283</v>
      </c>
      <c r="G189" s="17" t="s">
        <v>0</v>
      </c>
      <c r="H189" s="15" t="s">
        <v>183</v>
      </c>
      <c r="I189" s="15" t="s">
        <v>183</v>
      </c>
      <c r="J189" s="15" t="s">
        <v>183</v>
      </c>
      <c r="K189" s="40" t="s">
        <v>476</v>
      </c>
      <c r="L189" s="46" t="s">
        <v>476</v>
      </c>
      <c r="M189" s="18" t="s">
        <v>275</v>
      </c>
      <c r="N189" s="31" t="s">
        <v>374</v>
      </c>
      <c r="O189" s="30" t="s">
        <v>373</v>
      </c>
      <c r="P189" s="39"/>
      <c r="Q189" s="39"/>
    </row>
    <row r="190" spans="1:17" s="3" customFormat="1" ht="30" x14ac:dyDescent="0.25">
      <c r="A190" s="4" t="s">
        <v>234</v>
      </c>
      <c r="B190" s="15">
        <f t="shared" si="7"/>
        <v>548</v>
      </c>
      <c r="C190" s="15" t="str">
        <f t="shared" si="14"/>
        <v>0x00000224</v>
      </c>
      <c r="D190" s="15">
        <v>2</v>
      </c>
      <c r="E190" s="7" t="s">
        <v>601</v>
      </c>
      <c r="F190" s="15" t="s">
        <v>283</v>
      </c>
      <c r="G190" s="17" t="s">
        <v>0</v>
      </c>
      <c r="H190" s="15" t="s">
        <v>183</v>
      </c>
      <c r="I190" s="15" t="s">
        <v>183</v>
      </c>
      <c r="J190" s="15" t="s">
        <v>183</v>
      </c>
      <c r="K190" s="40" t="s">
        <v>476</v>
      </c>
      <c r="L190" s="46" t="s">
        <v>476</v>
      </c>
      <c r="M190" s="18" t="s">
        <v>275</v>
      </c>
      <c r="N190" s="31" t="s">
        <v>374</v>
      </c>
      <c r="O190" s="30" t="s">
        <v>373</v>
      </c>
      <c r="P190" s="39"/>
      <c r="Q190" s="39"/>
    </row>
    <row r="191" spans="1:17" s="3" customFormat="1" ht="30" x14ac:dyDescent="0.25">
      <c r="A191" s="4" t="s">
        <v>234</v>
      </c>
      <c r="B191" s="15">
        <f t="shared" si="7"/>
        <v>550</v>
      </c>
      <c r="C191" s="15" t="str">
        <f t="shared" si="14"/>
        <v>0x00000226</v>
      </c>
      <c r="D191" s="15">
        <v>2</v>
      </c>
      <c r="E191" s="7" t="s">
        <v>602</v>
      </c>
      <c r="F191" s="15" t="s">
        <v>283</v>
      </c>
      <c r="G191" s="17" t="s">
        <v>0</v>
      </c>
      <c r="H191" s="15" t="s">
        <v>183</v>
      </c>
      <c r="I191" s="15" t="s">
        <v>183</v>
      </c>
      <c r="J191" s="15" t="s">
        <v>183</v>
      </c>
      <c r="K191" s="40" t="s">
        <v>476</v>
      </c>
      <c r="L191" s="46" t="s">
        <v>476</v>
      </c>
      <c r="M191" s="18" t="s">
        <v>275</v>
      </c>
      <c r="N191" s="31" t="s">
        <v>374</v>
      </c>
      <c r="O191" s="30" t="s">
        <v>373</v>
      </c>
      <c r="P191" s="39"/>
      <c r="Q191" s="39"/>
    </row>
    <row r="192" spans="1:17" s="3" customFormat="1" ht="30" x14ac:dyDescent="0.25">
      <c r="A192" s="4" t="s">
        <v>234</v>
      </c>
      <c r="B192" s="15">
        <f t="shared" si="7"/>
        <v>552</v>
      </c>
      <c r="C192" s="15" t="str">
        <f t="shared" si="14"/>
        <v>0x00000228</v>
      </c>
      <c r="D192" s="15">
        <v>2</v>
      </c>
      <c r="E192" s="7" t="s">
        <v>603</v>
      </c>
      <c r="F192" s="15" t="s">
        <v>283</v>
      </c>
      <c r="G192" s="17" t="s">
        <v>0</v>
      </c>
      <c r="H192" s="15" t="s">
        <v>183</v>
      </c>
      <c r="I192" s="15" t="s">
        <v>183</v>
      </c>
      <c r="J192" s="15" t="s">
        <v>183</v>
      </c>
      <c r="K192" s="40" t="s">
        <v>476</v>
      </c>
      <c r="L192" s="46" t="s">
        <v>476</v>
      </c>
      <c r="M192" s="18" t="s">
        <v>275</v>
      </c>
      <c r="N192" s="31" t="s">
        <v>374</v>
      </c>
      <c r="O192" s="30" t="s">
        <v>373</v>
      </c>
      <c r="P192" s="39"/>
      <c r="Q192" s="39"/>
    </row>
    <row r="193" spans="1:17" s="3" customFormat="1" ht="30" x14ac:dyDescent="0.25">
      <c r="A193" s="4" t="s">
        <v>234</v>
      </c>
      <c r="B193" s="15">
        <f t="shared" si="7"/>
        <v>554</v>
      </c>
      <c r="C193" s="15" t="str">
        <f t="shared" si="14"/>
        <v>0x0000022A</v>
      </c>
      <c r="D193" s="15">
        <v>2</v>
      </c>
      <c r="E193" s="7" t="s">
        <v>604</v>
      </c>
      <c r="F193" s="15" t="s">
        <v>283</v>
      </c>
      <c r="G193" s="17" t="s">
        <v>0</v>
      </c>
      <c r="H193" s="15" t="s">
        <v>183</v>
      </c>
      <c r="I193" s="15" t="s">
        <v>183</v>
      </c>
      <c r="J193" s="15" t="s">
        <v>183</v>
      </c>
      <c r="K193" s="40" t="s">
        <v>476</v>
      </c>
      <c r="L193" s="46" t="s">
        <v>476</v>
      </c>
      <c r="M193" s="18" t="s">
        <v>275</v>
      </c>
      <c r="N193" s="31" t="s">
        <v>374</v>
      </c>
      <c r="O193" s="30" t="s">
        <v>373</v>
      </c>
      <c r="P193" s="39"/>
      <c r="Q193" s="39"/>
    </row>
    <row r="194" spans="1:17" s="3" customFormat="1" ht="30" x14ac:dyDescent="0.25">
      <c r="A194" s="4" t="s">
        <v>234</v>
      </c>
      <c r="B194" s="15">
        <f t="shared" si="7"/>
        <v>556</v>
      </c>
      <c r="C194" s="15" t="str">
        <f t="shared" si="14"/>
        <v>0x0000022C</v>
      </c>
      <c r="D194" s="15">
        <v>2</v>
      </c>
      <c r="E194" s="7" t="s">
        <v>605</v>
      </c>
      <c r="F194" s="15" t="s">
        <v>283</v>
      </c>
      <c r="G194" s="17" t="s">
        <v>0</v>
      </c>
      <c r="H194" s="15" t="s">
        <v>183</v>
      </c>
      <c r="I194" s="15" t="s">
        <v>183</v>
      </c>
      <c r="J194" s="15" t="s">
        <v>183</v>
      </c>
      <c r="K194" s="40" t="s">
        <v>476</v>
      </c>
      <c r="L194" s="46" t="s">
        <v>476</v>
      </c>
      <c r="M194" s="18" t="s">
        <v>275</v>
      </c>
      <c r="N194" s="31" t="s">
        <v>374</v>
      </c>
      <c r="O194" s="30" t="s">
        <v>373</v>
      </c>
      <c r="P194" s="39"/>
      <c r="Q194" s="39"/>
    </row>
    <row r="195" spans="1:17" s="3" customFormat="1" ht="30" x14ac:dyDescent="0.25">
      <c r="A195" s="4" t="s">
        <v>234</v>
      </c>
      <c r="B195" s="15">
        <f t="shared" si="7"/>
        <v>558</v>
      </c>
      <c r="C195" s="15" t="str">
        <f t="shared" si="14"/>
        <v>0x0000022E</v>
      </c>
      <c r="D195" s="15">
        <v>2</v>
      </c>
      <c r="E195" s="7" t="s">
        <v>606</v>
      </c>
      <c r="F195" s="15" t="s">
        <v>283</v>
      </c>
      <c r="G195" s="17" t="s">
        <v>0</v>
      </c>
      <c r="H195" s="15" t="s">
        <v>183</v>
      </c>
      <c r="I195" s="15" t="s">
        <v>183</v>
      </c>
      <c r="J195" s="15" t="s">
        <v>183</v>
      </c>
      <c r="K195" s="40" t="s">
        <v>476</v>
      </c>
      <c r="L195" s="46" t="s">
        <v>476</v>
      </c>
      <c r="M195" s="18" t="s">
        <v>275</v>
      </c>
      <c r="N195" s="31" t="s">
        <v>374</v>
      </c>
      <c r="O195" s="30" t="s">
        <v>373</v>
      </c>
      <c r="P195" s="39"/>
      <c r="Q195" s="39"/>
    </row>
    <row r="196" spans="1:17" s="3" customFormat="1" ht="30" x14ac:dyDescent="0.25">
      <c r="A196" s="4" t="s">
        <v>234</v>
      </c>
      <c r="B196" s="15">
        <f t="shared" si="7"/>
        <v>560</v>
      </c>
      <c r="C196" s="15" t="str">
        <f t="shared" si="14"/>
        <v>0x00000230</v>
      </c>
      <c r="D196" s="15">
        <v>2</v>
      </c>
      <c r="E196" s="7" t="s">
        <v>607</v>
      </c>
      <c r="F196" s="15" t="s">
        <v>283</v>
      </c>
      <c r="G196" s="17" t="s">
        <v>0</v>
      </c>
      <c r="H196" s="15" t="s">
        <v>183</v>
      </c>
      <c r="I196" s="15" t="s">
        <v>183</v>
      </c>
      <c r="J196" s="15" t="s">
        <v>183</v>
      </c>
      <c r="K196" s="40" t="s">
        <v>476</v>
      </c>
      <c r="L196" s="46" t="s">
        <v>476</v>
      </c>
      <c r="M196" s="18" t="s">
        <v>275</v>
      </c>
      <c r="N196" s="31" t="s">
        <v>374</v>
      </c>
      <c r="O196" s="30" t="s">
        <v>373</v>
      </c>
      <c r="P196" s="39"/>
      <c r="Q196" s="39"/>
    </row>
    <row r="197" spans="1:17" s="3" customFormat="1" ht="30" x14ac:dyDescent="0.25">
      <c r="A197" s="4" t="s">
        <v>234</v>
      </c>
      <c r="B197" s="15">
        <f t="shared" si="7"/>
        <v>562</v>
      </c>
      <c r="C197" s="15" t="str">
        <f t="shared" si="14"/>
        <v>0x00000232</v>
      </c>
      <c r="D197" s="15">
        <v>2</v>
      </c>
      <c r="E197" s="7" t="s">
        <v>608</v>
      </c>
      <c r="F197" s="15" t="s">
        <v>283</v>
      </c>
      <c r="G197" s="17" t="s">
        <v>0</v>
      </c>
      <c r="H197" s="15" t="s">
        <v>183</v>
      </c>
      <c r="I197" s="15" t="s">
        <v>183</v>
      </c>
      <c r="J197" s="15" t="s">
        <v>183</v>
      </c>
      <c r="K197" s="40" t="s">
        <v>476</v>
      </c>
      <c r="L197" s="46" t="s">
        <v>476</v>
      </c>
      <c r="M197" s="18" t="s">
        <v>275</v>
      </c>
      <c r="N197" s="31" t="s">
        <v>374</v>
      </c>
      <c r="O197" s="30" t="s">
        <v>373</v>
      </c>
      <c r="P197" s="39"/>
      <c r="Q197" s="39"/>
    </row>
    <row r="198" spans="1:17" s="3" customFormat="1" ht="30" x14ac:dyDescent="0.25">
      <c r="A198" s="4" t="s">
        <v>234</v>
      </c>
      <c r="B198" s="15">
        <f t="shared" si="7"/>
        <v>564</v>
      </c>
      <c r="C198" s="15" t="str">
        <f t="shared" si="14"/>
        <v>0x00000234</v>
      </c>
      <c r="D198" s="15">
        <v>2</v>
      </c>
      <c r="E198" s="7" t="s">
        <v>609</v>
      </c>
      <c r="F198" s="15" t="s">
        <v>283</v>
      </c>
      <c r="G198" s="17" t="s">
        <v>0</v>
      </c>
      <c r="H198" s="15" t="s">
        <v>183</v>
      </c>
      <c r="I198" s="15" t="s">
        <v>183</v>
      </c>
      <c r="J198" s="15" t="s">
        <v>183</v>
      </c>
      <c r="K198" s="40" t="s">
        <v>476</v>
      </c>
      <c r="L198" s="46" t="s">
        <v>476</v>
      </c>
      <c r="M198" s="18" t="s">
        <v>275</v>
      </c>
      <c r="N198" s="31" t="s">
        <v>374</v>
      </c>
      <c r="O198" s="30" t="s">
        <v>373</v>
      </c>
      <c r="P198" s="39"/>
      <c r="Q198" s="39"/>
    </row>
    <row r="199" spans="1:17" s="3" customFormat="1" ht="30" x14ac:dyDescent="0.25">
      <c r="A199" s="4" t="s">
        <v>234</v>
      </c>
      <c r="B199" s="15">
        <f t="shared" si="7"/>
        <v>566</v>
      </c>
      <c r="C199" s="15" t="str">
        <f t="shared" si="14"/>
        <v>0x00000236</v>
      </c>
      <c r="D199" s="15">
        <v>2</v>
      </c>
      <c r="E199" s="7" t="s">
        <v>610</v>
      </c>
      <c r="F199" s="15" t="s">
        <v>283</v>
      </c>
      <c r="G199" s="17" t="s">
        <v>0</v>
      </c>
      <c r="H199" s="15" t="s">
        <v>183</v>
      </c>
      <c r="I199" s="15" t="s">
        <v>183</v>
      </c>
      <c r="J199" s="15" t="s">
        <v>183</v>
      </c>
      <c r="K199" s="40" t="s">
        <v>476</v>
      </c>
      <c r="L199" s="46" t="s">
        <v>476</v>
      </c>
      <c r="M199" s="18" t="s">
        <v>275</v>
      </c>
      <c r="N199" s="31" t="s">
        <v>374</v>
      </c>
      <c r="O199" s="30" t="s">
        <v>373</v>
      </c>
      <c r="P199" s="39"/>
      <c r="Q199" s="39"/>
    </row>
    <row r="200" spans="1:17" s="3" customFormat="1" ht="30" x14ac:dyDescent="0.25">
      <c r="A200" s="4" t="s">
        <v>234</v>
      </c>
      <c r="B200" s="15">
        <f t="shared" si="7"/>
        <v>568</v>
      </c>
      <c r="C200" s="15" t="str">
        <f t="shared" si="14"/>
        <v>0x00000238</v>
      </c>
      <c r="D200" s="15">
        <v>2</v>
      </c>
      <c r="E200" s="7" t="s">
        <v>611</v>
      </c>
      <c r="F200" s="15" t="s">
        <v>283</v>
      </c>
      <c r="G200" s="17" t="s">
        <v>0</v>
      </c>
      <c r="H200" s="15" t="s">
        <v>183</v>
      </c>
      <c r="I200" s="15" t="s">
        <v>183</v>
      </c>
      <c r="J200" s="15" t="s">
        <v>183</v>
      </c>
      <c r="K200" s="40" t="s">
        <v>476</v>
      </c>
      <c r="L200" s="46" t="s">
        <v>476</v>
      </c>
      <c r="M200" s="18" t="s">
        <v>275</v>
      </c>
      <c r="N200" s="31" t="s">
        <v>374</v>
      </c>
      <c r="O200" s="30" t="s">
        <v>373</v>
      </c>
      <c r="P200" s="39"/>
      <c r="Q200" s="39"/>
    </row>
    <row r="201" spans="1:17" s="3" customFormat="1" ht="30" x14ac:dyDescent="0.25">
      <c r="A201" s="4" t="s">
        <v>234</v>
      </c>
      <c r="B201" s="15">
        <f t="shared" si="7"/>
        <v>570</v>
      </c>
      <c r="C201" s="15" t="str">
        <f t="shared" si="14"/>
        <v>0x0000023A</v>
      </c>
      <c r="D201" s="15">
        <v>2</v>
      </c>
      <c r="E201" s="7" t="s">
        <v>612</v>
      </c>
      <c r="F201" s="15" t="s">
        <v>283</v>
      </c>
      <c r="G201" s="17" t="s">
        <v>0</v>
      </c>
      <c r="H201" s="15" t="s">
        <v>183</v>
      </c>
      <c r="I201" s="15" t="s">
        <v>183</v>
      </c>
      <c r="J201" s="15" t="s">
        <v>183</v>
      </c>
      <c r="K201" s="40" t="s">
        <v>476</v>
      </c>
      <c r="L201" s="46" t="s">
        <v>476</v>
      </c>
      <c r="M201" s="18" t="s">
        <v>275</v>
      </c>
      <c r="N201" s="31" t="s">
        <v>374</v>
      </c>
      <c r="O201" s="30" t="s">
        <v>373</v>
      </c>
      <c r="P201" s="39"/>
      <c r="Q201" s="39"/>
    </row>
    <row r="202" spans="1:17" s="3" customFormat="1" ht="30" x14ac:dyDescent="0.25">
      <c r="A202" s="4" t="s">
        <v>234</v>
      </c>
      <c r="B202" s="15">
        <f t="shared" si="7"/>
        <v>572</v>
      </c>
      <c r="C202" s="15" t="str">
        <f t="shared" si="14"/>
        <v>0x0000023C</v>
      </c>
      <c r="D202" s="15">
        <v>2</v>
      </c>
      <c r="E202" s="7" t="s">
        <v>613</v>
      </c>
      <c r="F202" s="15" t="s">
        <v>283</v>
      </c>
      <c r="G202" s="17" t="s">
        <v>0</v>
      </c>
      <c r="H202" s="15" t="s">
        <v>183</v>
      </c>
      <c r="I202" s="15" t="s">
        <v>183</v>
      </c>
      <c r="J202" s="15" t="s">
        <v>183</v>
      </c>
      <c r="K202" s="40" t="s">
        <v>476</v>
      </c>
      <c r="L202" s="46" t="s">
        <v>476</v>
      </c>
      <c r="M202" s="18" t="s">
        <v>275</v>
      </c>
      <c r="N202" s="31" t="s">
        <v>374</v>
      </c>
      <c r="O202" s="30" t="s">
        <v>373</v>
      </c>
      <c r="P202" s="39"/>
      <c r="Q202" s="39"/>
    </row>
    <row r="203" spans="1:17" s="3" customFormat="1" ht="30" x14ac:dyDescent="0.25">
      <c r="A203" s="4" t="s">
        <v>234</v>
      </c>
      <c r="B203" s="15">
        <f t="shared" si="7"/>
        <v>574</v>
      </c>
      <c r="C203" s="15" t="str">
        <f t="shared" si="14"/>
        <v>0x0000023E</v>
      </c>
      <c r="D203" s="15">
        <v>2</v>
      </c>
      <c r="E203" s="7" t="s">
        <v>614</v>
      </c>
      <c r="F203" s="15" t="s">
        <v>283</v>
      </c>
      <c r="G203" s="17" t="s">
        <v>0</v>
      </c>
      <c r="H203" s="15" t="s">
        <v>183</v>
      </c>
      <c r="I203" s="15" t="s">
        <v>183</v>
      </c>
      <c r="J203" s="15" t="s">
        <v>183</v>
      </c>
      <c r="K203" s="40" t="s">
        <v>476</v>
      </c>
      <c r="L203" s="46" t="s">
        <v>476</v>
      </c>
      <c r="M203" s="18" t="s">
        <v>275</v>
      </c>
      <c r="N203" s="31" t="s">
        <v>374</v>
      </c>
      <c r="O203" s="30" t="s">
        <v>373</v>
      </c>
      <c r="P203" s="39"/>
      <c r="Q203" s="39"/>
    </row>
    <row r="204" spans="1:17" s="3" customFormat="1" ht="30" x14ac:dyDescent="0.25">
      <c r="A204" s="4" t="s">
        <v>234</v>
      </c>
      <c r="B204" s="15">
        <f t="shared" si="7"/>
        <v>576</v>
      </c>
      <c r="C204" s="15" t="str">
        <f t="shared" si="14"/>
        <v>0x00000240</v>
      </c>
      <c r="D204" s="15">
        <v>2</v>
      </c>
      <c r="E204" s="7" t="s">
        <v>615</v>
      </c>
      <c r="F204" s="15" t="s">
        <v>283</v>
      </c>
      <c r="G204" s="17" t="s">
        <v>0</v>
      </c>
      <c r="H204" s="15" t="s">
        <v>183</v>
      </c>
      <c r="I204" s="15" t="s">
        <v>183</v>
      </c>
      <c r="J204" s="15" t="s">
        <v>183</v>
      </c>
      <c r="K204" s="40" t="s">
        <v>476</v>
      </c>
      <c r="L204" s="46" t="s">
        <v>476</v>
      </c>
      <c r="M204" s="18" t="s">
        <v>275</v>
      </c>
      <c r="N204" s="31" t="s">
        <v>374</v>
      </c>
      <c r="O204" s="30" t="s">
        <v>373</v>
      </c>
      <c r="P204" s="39"/>
      <c r="Q204" s="39"/>
    </row>
    <row r="205" spans="1:17" s="3" customFormat="1" ht="30" x14ac:dyDescent="0.25">
      <c r="A205" s="4" t="s">
        <v>234</v>
      </c>
      <c r="B205" s="15">
        <f t="shared" si="7"/>
        <v>578</v>
      </c>
      <c r="C205" s="15" t="str">
        <f t="shared" si="14"/>
        <v>0x00000242</v>
      </c>
      <c r="D205" s="15">
        <v>2</v>
      </c>
      <c r="E205" s="7" t="s">
        <v>616</v>
      </c>
      <c r="F205" s="15" t="s">
        <v>283</v>
      </c>
      <c r="G205" s="17" t="s">
        <v>0</v>
      </c>
      <c r="H205" s="15" t="s">
        <v>183</v>
      </c>
      <c r="I205" s="15" t="s">
        <v>183</v>
      </c>
      <c r="J205" s="15" t="s">
        <v>183</v>
      </c>
      <c r="K205" s="40" t="s">
        <v>476</v>
      </c>
      <c r="L205" s="46" t="s">
        <v>476</v>
      </c>
      <c r="M205" s="18" t="s">
        <v>275</v>
      </c>
      <c r="N205" s="31" t="s">
        <v>374</v>
      </c>
      <c r="O205" s="30" t="s">
        <v>373</v>
      </c>
      <c r="P205" s="39"/>
      <c r="Q205" s="39"/>
    </row>
    <row r="206" spans="1:17" s="3" customFormat="1" ht="30" x14ac:dyDescent="0.25">
      <c r="A206" s="4" t="s">
        <v>234</v>
      </c>
      <c r="B206" s="15">
        <f t="shared" si="7"/>
        <v>580</v>
      </c>
      <c r="C206" s="15" t="str">
        <f t="shared" si="14"/>
        <v>0x00000244</v>
      </c>
      <c r="D206" s="15">
        <v>2</v>
      </c>
      <c r="E206" s="7" t="s">
        <v>617</v>
      </c>
      <c r="F206" s="15" t="s">
        <v>283</v>
      </c>
      <c r="G206" s="17" t="s">
        <v>0</v>
      </c>
      <c r="H206" s="15" t="s">
        <v>183</v>
      </c>
      <c r="I206" s="15" t="s">
        <v>183</v>
      </c>
      <c r="J206" s="15" t="s">
        <v>183</v>
      </c>
      <c r="K206" s="40" t="s">
        <v>476</v>
      </c>
      <c r="L206" s="46" t="s">
        <v>476</v>
      </c>
      <c r="M206" s="18" t="s">
        <v>275</v>
      </c>
      <c r="N206" s="31" t="s">
        <v>374</v>
      </c>
      <c r="O206" s="30" t="s">
        <v>373</v>
      </c>
      <c r="P206" s="39"/>
      <c r="Q206" s="39"/>
    </row>
    <row r="207" spans="1:17" s="3" customFormat="1" ht="30" x14ac:dyDescent="0.25">
      <c r="A207" s="4" t="s">
        <v>234</v>
      </c>
      <c r="B207" s="15">
        <f t="shared" si="7"/>
        <v>582</v>
      </c>
      <c r="C207" s="15" t="str">
        <f t="shared" si="14"/>
        <v>0x00000246</v>
      </c>
      <c r="D207" s="15">
        <v>2</v>
      </c>
      <c r="E207" s="7" t="s">
        <v>618</v>
      </c>
      <c r="F207" s="15" t="s">
        <v>283</v>
      </c>
      <c r="G207" s="17" t="s">
        <v>0</v>
      </c>
      <c r="H207" s="15" t="s">
        <v>183</v>
      </c>
      <c r="I207" s="15" t="s">
        <v>183</v>
      </c>
      <c r="J207" s="15" t="s">
        <v>183</v>
      </c>
      <c r="K207" s="40" t="s">
        <v>476</v>
      </c>
      <c r="L207" s="46" t="s">
        <v>476</v>
      </c>
      <c r="M207" s="18" t="s">
        <v>275</v>
      </c>
      <c r="N207" s="31" t="s">
        <v>374</v>
      </c>
      <c r="O207" s="30" t="s">
        <v>373</v>
      </c>
      <c r="P207" s="39"/>
      <c r="Q207" s="39"/>
    </row>
    <row r="208" spans="1:17" s="3" customFormat="1" ht="45" x14ac:dyDescent="0.25">
      <c r="A208" s="4" t="s">
        <v>234</v>
      </c>
      <c r="B208" s="15">
        <f t="shared" si="7"/>
        <v>584</v>
      </c>
      <c r="C208" s="15" t="str">
        <f t="shared" si="14"/>
        <v>0x00000248</v>
      </c>
      <c r="D208" s="15">
        <v>4</v>
      </c>
      <c r="E208" s="16" t="s">
        <v>749</v>
      </c>
      <c r="F208" s="15" t="s">
        <v>285</v>
      </c>
      <c r="G208" s="17" t="s">
        <v>0</v>
      </c>
      <c r="H208" s="15">
        <v>0</v>
      </c>
      <c r="I208" s="15">
        <v>1</v>
      </c>
      <c r="J208" s="15" t="str">
        <f>CONCATENATE("["&amp;Tableau1[[#This Row],[Min]]&amp;"; "&amp;Tableau1[[#This Row],[Max]]&amp;"]")</f>
        <v>[0; 1]</v>
      </c>
      <c r="K208" s="40">
        <v>0</v>
      </c>
      <c r="L208" s="46">
        <v>0</v>
      </c>
      <c r="M208" s="18" t="s">
        <v>264</v>
      </c>
      <c r="N208" s="31"/>
      <c r="O208" s="30"/>
      <c r="P208" s="39"/>
      <c r="Q208" s="39"/>
    </row>
    <row r="209" spans="1:17" s="3" customFormat="1" ht="45" x14ac:dyDescent="0.25">
      <c r="A209" s="4" t="s">
        <v>234</v>
      </c>
      <c r="B209" s="15">
        <f t="shared" si="7"/>
        <v>588</v>
      </c>
      <c r="C209" s="15" t="str">
        <f t="shared" si="10"/>
        <v>0x0000024C</v>
      </c>
      <c r="D209" s="15">
        <v>4</v>
      </c>
      <c r="E209" s="16" t="s">
        <v>619</v>
      </c>
      <c r="F209" s="15" t="s">
        <v>285</v>
      </c>
      <c r="G209" s="17" t="s">
        <v>0</v>
      </c>
      <c r="H209" s="15">
        <v>0</v>
      </c>
      <c r="I209" s="15">
        <v>1</v>
      </c>
      <c r="J209" s="15" t="str">
        <f>CONCATENATE("["&amp;Tableau1[[#This Row],[Min]]&amp;"; "&amp;Tableau1[[#This Row],[Max]]&amp;"]")</f>
        <v>[0; 1]</v>
      </c>
      <c r="K209" s="40">
        <v>1</v>
      </c>
      <c r="L209" s="46">
        <v>1</v>
      </c>
      <c r="M209" s="18" t="s">
        <v>176</v>
      </c>
      <c r="N209" s="31" t="s">
        <v>376</v>
      </c>
      <c r="O209" s="30" t="s">
        <v>375</v>
      </c>
      <c r="P209" s="39"/>
      <c r="Q209" s="39"/>
    </row>
    <row r="210" spans="1:17" s="3" customFormat="1" ht="30" x14ac:dyDescent="0.25">
      <c r="A210" s="4" t="s">
        <v>234</v>
      </c>
      <c r="B210" s="15">
        <f t="shared" si="7"/>
        <v>592</v>
      </c>
      <c r="C210" s="15" t="str">
        <f t="shared" si="10"/>
        <v>0x00000250</v>
      </c>
      <c r="D210" s="15">
        <v>2</v>
      </c>
      <c r="E210" s="16" t="s">
        <v>620</v>
      </c>
      <c r="F210" s="15" t="s">
        <v>283</v>
      </c>
      <c r="G210" s="17" t="s">
        <v>0</v>
      </c>
      <c r="H210" s="15" t="s">
        <v>183</v>
      </c>
      <c r="I210" s="15" t="s">
        <v>183</v>
      </c>
      <c r="J210" s="15" t="s">
        <v>183</v>
      </c>
      <c r="K210" s="40" t="s">
        <v>411</v>
      </c>
      <c r="L210" s="46" t="s">
        <v>411</v>
      </c>
      <c r="M210" s="18" t="s">
        <v>276</v>
      </c>
      <c r="N210" s="31" t="s">
        <v>376</v>
      </c>
      <c r="O210" s="30" t="s">
        <v>375</v>
      </c>
      <c r="P210" s="39"/>
      <c r="Q210" s="39"/>
    </row>
    <row r="211" spans="1:17" s="3" customFormat="1" ht="30" x14ac:dyDescent="0.25">
      <c r="A211" s="4" t="s">
        <v>234</v>
      </c>
      <c r="B211" s="15">
        <f>B210+D210</f>
        <v>594</v>
      </c>
      <c r="C211" s="15" t="str">
        <f t="shared" ref="C211:C242" si="15">CONCATENATE("0x",DEC2HEX(B211,8))</f>
        <v>0x00000252</v>
      </c>
      <c r="D211" s="15">
        <v>2</v>
      </c>
      <c r="E211" s="7" t="s">
        <v>621</v>
      </c>
      <c r="F211" s="15" t="s">
        <v>283</v>
      </c>
      <c r="G211" s="17" t="s">
        <v>0</v>
      </c>
      <c r="H211" s="15" t="s">
        <v>183</v>
      </c>
      <c r="I211" s="15" t="s">
        <v>183</v>
      </c>
      <c r="J211" s="15" t="s">
        <v>183</v>
      </c>
      <c r="K211" s="40" t="s">
        <v>445</v>
      </c>
      <c r="L211" s="46" t="s">
        <v>445</v>
      </c>
      <c r="M211" s="18" t="s">
        <v>276</v>
      </c>
      <c r="N211" s="31" t="s">
        <v>376</v>
      </c>
      <c r="O211" s="30" t="s">
        <v>375</v>
      </c>
      <c r="P211" s="39"/>
      <c r="Q211" s="39"/>
    </row>
    <row r="212" spans="1:17" s="3" customFormat="1" ht="30" x14ac:dyDescent="0.25">
      <c r="A212" s="4" t="s">
        <v>234</v>
      </c>
      <c r="B212" s="15">
        <f t="shared" ref="B212:B275" si="16">B211+D211</f>
        <v>596</v>
      </c>
      <c r="C212" s="15" t="str">
        <f t="shared" si="15"/>
        <v>0x00000254</v>
      </c>
      <c r="D212" s="15">
        <v>2</v>
      </c>
      <c r="E212" s="7" t="s">
        <v>622</v>
      </c>
      <c r="F212" s="15" t="s">
        <v>283</v>
      </c>
      <c r="G212" s="17" t="s">
        <v>0</v>
      </c>
      <c r="H212" s="15" t="s">
        <v>183</v>
      </c>
      <c r="I212" s="15" t="s">
        <v>183</v>
      </c>
      <c r="J212" s="15" t="s">
        <v>183</v>
      </c>
      <c r="K212" s="40" t="s">
        <v>446</v>
      </c>
      <c r="L212" s="46" t="s">
        <v>446</v>
      </c>
      <c r="M212" s="18" t="s">
        <v>276</v>
      </c>
      <c r="N212" s="31" t="s">
        <v>376</v>
      </c>
      <c r="O212" s="30" t="s">
        <v>375</v>
      </c>
      <c r="P212" s="39"/>
      <c r="Q212" s="39"/>
    </row>
    <row r="213" spans="1:17" s="3" customFormat="1" ht="30" x14ac:dyDescent="0.25">
      <c r="A213" s="4" t="s">
        <v>234</v>
      </c>
      <c r="B213" s="15">
        <f t="shared" si="16"/>
        <v>598</v>
      </c>
      <c r="C213" s="15" t="str">
        <f t="shared" si="15"/>
        <v>0x00000256</v>
      </c>
      <c r="D213" s="15">
        <v>2</v>
      </c>
      <c r="E213" s="7" t="s">
        <v>623</v>
      </c>
      <c r="F213" s="15" t="s">
        <v>283</v>
      </c>
      <c r="G213" s="17" t="s">
        <v>0</v>
      </c>
      <c r="H213" s="15" t="s">
        <v>183</v>
      </c>
      <c r="I213" s="15" t="s">
        <v>183</v>
      </c>
      <c r="J213" s="15" t="s">
        <v>183</v>
      </c>
      <c r="K213" s="40" t="s">
        <v>447</v>
      </c>
      <c r="L213" s="46" t="s">
        <v>447</v>
      </c>
      <c r="M213" s="18" t="s">
        <v>276</v>
      </c>
      <c r="N213" s="31" t="s">
        <v>376</v>
      </c>
      <c r="O213" s="30" t="s">
        <v>375</v>
      </c>
      <c r="P213" s="39"/>
      <c r="Q213" s="39"/>
    </row>
    <row r="214" spans="1:17" s="3" customFormat="1" ht="30" x14ac:dyDescent="0.25">
      <c r="A214" s="4" t="s">
        <v>234</v>
      </c>
      <c r="B214" s="15">
        <f t="shared" si="16"/>
        <v>600</v>
      </c>
      <c r="C214" s="15" t="str">
        <f t="shared" si="15"/>
        <v>0x00000258</v>
      </c>
      <c r="D214" s="15">
        <v>2</v>
      </c>
      <c r="E214" s="7" t="s">
        <v>624</v>
      </c>
      <c r="F214" s="15" t="s">
        <v>283</v>
      </c>
      <c r="G214" s="17" t="s">
        <v>0</v>
      </c>
      <c r="H214" s="15" t="s">
        <v>183</v>
      </c>
      <c r="I214" s="15" t="s">
        <v>183</v>
      </c>
      <c r="J214" s="15" t="s">
        <v>183</v>
      </c>
      <c r="K214" s="40" t="s">
        <v>448</v>
      </c>
      <c r="L214" s="46" t="s">
        <v>448</v>
      </c>
      <c r="M214" s="18" t="s">
        <v>276</v>
      </c>
      <c r="N214" s="31" t="s">
        <v>376</v>
      </c>
      <c r="O214" s="30" t="s">
        <v>375</v>
      </c>
      <c r="P214" s="39"/>
      <c r="Q214" s="39"/>
    </row>
    <row r="215" spans="1:17" s="3" customFormat="1" ht="30" x14ac:dyDescent="0.25">
      <c r="A215" s="4" t="s">
        <v>234</v>
      </c>
      <c r="B215" s="15">
        <f t="shared" si="16"/>
        <v>602</v>
      </c>
      <c r="C215" s="15" t="str">
        <f t="shared" si="15"/>
        <v>0x0000025A</v>
      </c>
      <c r="D215" s="15">
        <v>2</v>
      </c>
      <c r="E215" s="7" t="s">
        <v>625</v>
      </c>
      <c r="F215" s="15" t="s">
        <v>283</v>
      </c>
      <c r="G215" s="17" t="s">
        <v>0</v>
      </c>
      <c r="H215" s="15" t="s">
        <v>183</v>
      </c>
      <c r="I215" s="15" t="s">
        <v>183</v>
      </c>
      <c r="J215" s="15" t="s">
        <v>183</v>
      </c>
      <c r="K215" s="40" t="s">
        <v>449</v>
      </c>
      <c r="L215" s="46" t="s">
        <v>449</v>
      </c>
      <c r="M215" s="18" t="s">
        <v>276</v>
      </c>
      <c r="N215" s="31" t="s">
        <v>376</v>
      </c>
      <c r="O215" s="30" t="s">
        <v>375</v>
      </c>
      <c r="P215" s="39"/>
      <c r="Q215" s="39"/>
    </row>
    <row r="216" spans="1:17" s="3" customFormat="1" ht="30" x14ac:dyDescent="0.25">
      <c r="A216" s="4" t="s">
        <v>234</v>
      </c>
      <c r="B216" s="15">
        <f t="shared" si="16"/>
        <v>604</v>
      </c>
      <c r="C216" s="15" t="str">
        <f t="shared" si="15"/>
        <v>0x0000025C</v>
      </c>
      <c r="D216" s="15">
        <v>2</v>
      </c>
      <c r="E216" s="7" t="s">
        <v>626</v>
      </c>
      <c r="F216" s="15" t="s">
        <v>283</v>
      </c>
      <c r="G216" s="17" t="s">
        <v>0</v>
      </c>
      <c r="H216" s="15" t="s">
        <v>183</v>
      </c>
      <c r="I216" s="15" t="s">
        <v>183</v>
      </c>
      <c r="J216" s="15" t="s">
        <v>183</v>
      </c>
      <c r="K216" s="40" t="s">
        <v>450</v>
      </c>
      <c r="L216" s="46" t="s">
        <v>450</v>
      </c>
      <c r="M216" s="18" t="s">
        <v>276</v>
      </c>
      <c r="N216" s="31" t="s">
        <v>376</v>
      </c>
      <c r="O216" s="30" t="s">
        <v>375</v>
      </c>
      <c r="P216" s="39"/>
      <c r="Q216" s="39"/>
    </row>
    <row r="217" spans="1:17" s="3" customFormat="1" ht="30" x14ac:dyDescent="0.25">
      <c r="A217" s="4" t="s">
        <v>234</v>
      </c>
      <c r="B217" s="15">
        <f t="shared" si="16"/>
        <v>606</v>
      </c>
      <c r="C217" s="15" t="str">
        <f t="shared" si="15"/>
        <v>0x0000025E</v>
      </c>
      <c r="D217" s="15">
        <v>2</v>
      </c>
      <c r="E217" s="7" t="s">
        <v>627</v>
      </c>
      <c r="F217" s="15" t="s">
        <v>283</v>
      </c>
      <c r="G217" s="17" t="s">
        <v>0</v>
      </c>
      <c r="H217" s="15" t="s">
        <v>183</v>
      </c>
      <c r="I217" s="15" t="s">
        <v>183</v>
      </c>
      <c r="J217" s="15" t="s">
        <v>183</v>
      </c>
      <c r="K217" s="40" t="s">
        <v>451</v>
      </c>
      <c r="L217" s="46" t="s">
        <v>451</v>
      </c>
      <c r="M217" s="18" t="s">
        <v>276</v>
      </c>
      <c r="N217" s="31" t="s">
        <v>376</v>
      </c>
      <c r="O217" s="30" t="s">
        <v>375</v>
      </c>
      <c r="P217" s="39"/>
      <c r="Q217" s="39"/>
    </row>
    <row r="218" spans="1:17" s="3" customFormat="1" ht="30" x14ac:dyDescent="0.25">
      <c r="A218" s="4" t="s">
        <v>234</v>
      </c>
      <c r="B218" s="15">
        <f t="shared" si="16"/>
        <v>608</v>
      </c>
      <c r="C218" s="15" t="str">
        <f t="shared" si="15"/>
        <v>0x00000260</v>
      </c>
      <c r="D218" s="15">
        <v>2</v>
      </c>
      <c r="E218" s="7" t="s">
        <v>628</v>
      </c>
      <c r="F218" s="15" t="s">
        <v>283</v>
      </c>
      <c r="G218" s="17" t="s">
        <v>0</v>
      </c>
      <c r="H218" s="15" t="s">
        <v>183</v>
      </c>
      <c r="I218" s="15" t="s">
        <v>183</v>
      </c>
      <c r="J218" s="15" t="s">
        <v>183</v>
      </c>
      <c r="K218" s="40" t="s">
        <v>452</v>
      </c>
      <c r="L218" s="46" t="s">
        <v>452</v>
      </c>
      <c r="M218" s="18" t="s">
        <v>276</v>
      </c>
      <c r="N218" s="31" t="s">
        <v>376</v>
      </c>
      <c r="O218" s="30" t="s">
        <v>375</v>
      </c>
      <c r="P218" s="39"/>
      <c r="Q218" s="39"/>
    </row>
    <row r="219" spans="1:17" s="3" customFormat="1" ht="30" x14ac:dyDescent="0.25">
      <c r="A219" s="4" t="s">
        <v>234</v>
      </c>
      <c r="B219" s="15">
        <f t="shared" si="16"/>
        <v>610</v>
      </c>
      <c r="C219" s="15" t="str">
        <f t="shared" si="15"/>
        <v>0x00000262</v>
      </c>
      <c r="D219" s="15">
        <v>2</v>
      </c>
      <c r="E219" s="7" t="s">
        <v>629</v>
      </c>
      <c r="F219" s="15" t="s">
        <v>283</v>
      </c>
      <c r="G219" s="17" t="s">
        <v>0</v>
      </c>
      <c r="H219" s="15" t="s">
        <v>183</v>
      </c>
      <c r="I219" s="15" t="s">
        <v>183</v>
      </c>
      <c r="J219" s="15" t="s">
        <v>183</v>
      </c>
      <c r="K219" s="40" t="s">
        <v>453</v>
      </c>
      <c r="L219" s="46" t="s">
        <v>453</v>
      </c>
      <c r="M219" s="18" t="s">
        <v>276</v>
      </c>
      <c r="N219" s="31" t="s">
        <v>376</v>
      </c>
      <c r="O219" s="30" t="s">
        <v>375</v>
      </c>
      <c r="P219" s="39"/>
      <c r="Q219" s="39"/>
    </row>
    <row r="220" spans="1:17" s="3" customFormat="1" ht="30" x14ac:dyDescent="0.25">
      <c r="A220" s="4" t="s">
        <v>234</v>
      </c>
      <c r="B220" s="15">
        <f t="shared" si="16"/>
        <v>612</v>
      </c>
      <c r="C220" s="15" t="str">
        <f t="shared" si="15"/>
        <v>0x00000264</v>
      </c>
      <c r="D220" s="15">
        <v>2</v>
      </c>
      <c r="E220" s="7" t="s">
        <v>630</v>
      </c>
      <c r="F220" s="15" t="s">
        <v>283</v>
      </c>
      <c r="G220" s="17" t="s">
        <v>0</v>
      </c>
      <c r="H220" s="15" t="s">
        <v>183</v>
      </c>
      <c r="I220" s="15" t="s">
        <v>183</v>
      </c>
      <c r="J220" s="15" t="s">
        <v>183</v>
      </c>
      <c r="K220" s="40" t="s">
        <v>454</v>
      </c>
      <c r="L220" s="46" t="s">
        <v>454</v>
      </c>
      <c r="M220" s="18" t="s">
        <v>276</v>
      </c>
      <c r="N220" s="31" t="s">
        <v>376</v>
      </c>
      <c r="O220" s="30" t="s">
        <v>375</v>
      </c>
      <c r="P220" s="39"/>
      <c r="Q220" s="39"/>
    </row>
    <row r="221" spans="1:17" s="3" customFormat="1" ht="30" x14ac:dyDescent="0.25">
      <c r="A221" s="4" t="s">
        <v>234</v>
      </c>
      <c r="B221" s="15">
        <f t="shared" si="16"/>
        <v>614</v>
      </c>
      <c r="C221" s="15" t="str">
        <f t="shared" si="15"/>
        <v>0x00000266</v>
      </c>
      <c r="D221" s="15">
        <v>2</v>
      </c>
      <c r="E221" s="7" t="s">
        <v>631</v>
      </c>
      <c r="F221" s="15" t="s">
        <v>283</v>
      </c>
      <c r="G221" s="17" t="s">
        <v>0</v>
      </c>
      <c r="H221" s="15" t="s">
        <v>183</v>
      </c>
      <c r="I221" s="15" t="s">
        <v>183</v>
      </c>
      <c r="J221" s="15" t="s">
        <v>183</v>
      </c>
      <c r="K221" s="40" t="s">
        <v>455</v>
      </c>
      <c r="L221" s="46" t="s">
        <v>455</v>
      </c>
      <c r="M221" s="18" t="s">
        <v>276</v>
      </c>
      <c r="N221" s="31" t="s">
        <v>376</v>
      </c>
      <c r="O221" s="30" t="s">
        <v>375</v>
      </c>
      <c r="P221" s="39"/>
      <c r="Q221" s="39"/>
    </row>
    <row r="222" spans="1:17" s="3" customFormat="1" ht="30" x14ac:dyDescent="0.25">
      <c r="A222" s="4" t="s">
        <v>234</v>
      </c>
      <c r="B222" s="15">
        <f t="shared" si="16"/>
        <v>616</v>
      </c>
      <c r="C222" s="15" t="str">
        <f t="shared" si="15"/>
        <v>0x00000268</v>
      </c>
      <c r="D222" s="15">
        <v>2</v>
      </c>
      <c r="E222" s="7" t="s">
        <v>632</v>
      </c>
      <c r="F222" s="15" t="s">
        <v>283</v>
      </c>
      <c r="G222" s="17" t="s">
        <v>0</v>
      </c>
      <c r="H222" s="15" t="s">
        <v>183</v>
      </c>
      <c r="I222" s="15" t="s">
        <v>183</v>
      </c>
      <c r="J222" s="15" t="s">
        <v>183</v>
      </c>
      <c r="K222" s="40" t="s">
        <v>456</v>
      </c>
      <c r="L222" s="46" t="s">
        <v>456</v>
      </c>
      <c r="M222" s="18" t="s">
        <v>276</v>
      </c>
      <c r="N222" s="31" t="s">
        <v>376</v>
      </c>
      <c r="O222" s="30" t="s">
        <v>375</v>
      </c>
      <c r="P222" s="39"/>
      <c r="Q222" s="39"/>
    </row>
    <row r="223" spans="1:17" s="3" customFormat="1" ht="30" x14ac:dyDescent="0.25">
      <c r="A223" s="4" t="s">
        <v>234</v>
      </c>
      <c r="B223" s="15">
        <f t="shared" si="16"/>
        <v>618</v>
      </c>
      <c r="C223" s="15" t="str">
        <f t="shared" si="15"/>
        <v>0x0000026A</v>
      </c>
      <c r="D223" s="15">
        <v>2</v>
      </c>
      <c r="E223" s="7" t="s">
        <v>633</v>
      </c>
      <c r="F223" s="15" t="s">
        <v>283</v>
      </c>
      <c r="G223" s="17" t="s">
        <v>0</v>
      </c>
      <c r="H223" s="15" t="s">
        <v>183</v>
      </c>
      <c r="I223" s="15" t="s">
        <v>183</v>
      </c>
      <c r="J223" s="15" t="s">
        <v>183</v>
      </c>
      <c r="K223" s="40" t="s">
        <v>457</v>
      </c>
      <c r="L223" s="46" t="s">
        <v>457</v>
      </c>
      <c r="M223" s="18" t="s">
        <v>276</v>
      </c>
      <c r="N223" s="31" t="s">
        <v>376</v>
      </c>
      <c r="O223" s="30" t="s">
        <v>375</v>
      </c>
      <c r="P223" s="39"/>
      <c r="Q223" s="39"/>
    </row>
    <row r="224" spans="1:17" s="3" customFormat="1" ht="30" x14ac:dyDescent="0.25">
      <c r="A224" s="4" t="s">
        <v>234</v>
      </c>
      <c r="B224" s="15">
        <f t="shared" si="16"/>
        <v>620</v>
      </c>
      <c r="C224" s="15" t="str">
        <f t="shared" si="15"/>
        <v>0x0000026C</v>
      </c>
      <c r="D224" s="15">
        <v>2</v>
      </c>
      <c r="E224" s="7" t="s">
        <v>634</v>
      </c>
      <c r="F224" s="15" t="s">
        <v>283</v>
      </c>
      <c r="G224" s="17" t="s">
        <v>0</v>
      </c>
      <c r="H224" s="15" t="s">
        <v>183</v>
      </c>
      <c r="I224" s="15" t="s">
        <v>183</v>
      </c>
      <c r="J224" s="15" t="s">
        <v>183</v>
      </c>
      <c r="K224" s="40" t="s">
        <v>458</v>
      </c>
      <c r="L224" s="46" t="s">
        <v>458</v>
      </c>
      <c r="M224" s="18" t="s">
        <v>276</v>
      </c>
      <c r="N224" s="31" t="s">
        <v>376</v>
      </c>
      <c r="O224" s="30" t="s">
        <v>375</v>
      </c>
      <c r="P224" s="39"/>
      <c r="Q224" s="39"/>
    </row>
    <row r="225" spans="1:17" s="3" customFormat="1" ht="30" x14ac:dyDescent="0.25">
      <c r="A225" s="4" t="s">
        <v>234</v>
      </c>
      <c r="B225" s="15">
        <f t="shared" si="16"/>
        <v>622</v>
      </c>
      <c r="C225" s="15" t="str">
        <f t="shared" si="15"/>
        <v>0x0000026E</v>
      </c>
      <c r="D225" s="15">
        <v>2</v>
      </c>
      <c r="E225" s="7" t="s">
        <v>635</v>
      </c>
      <c r="F225" s="15" t="s">
        <v>283</v>
      </c>
      <c r="G225" s="17" t="s">
        <v>0</v>
      </c>
      <c r="H225" s="15" t="s">
        <v>183</v>
      </c>
      <c r="I225" s="15" t="s">
        <v>183</v>
      </c>
      <c r="J225" s="15" t="s">
        <v>183</v>
      </c>
      <c r="K225" s="40" t="s">
        <v>459</v>
      </c>
      <c r="L225" s="46" t="s">
        <v>459</v>
      </c>
      <c r="M225" s="18" t="s">
        <v>276</v>
      </c>
      <c r="N225" s="31" t="s">
        <v>376</v>
      </c>
      <c r="O225" s="30" t="s">
        <v>375</v>
      </c>
      <c r="P225" s="39"/>
      <c r="Q225" s="39"/>
    </row>
    <row r="226" spans="1:17" s="3" customFormat="1" ht="30" x14ac:dyDescent="0.25">
      <c r="A226" s="4" t="s">
        <v>234</v>
      </c>
      <c r="B226" s="15">
        <f t="shared" si="16"/>
        <v>624</v>
      </c>
      <c r="C226" s="15" t="str">
        <f t="shared" si="15"/>
        <v>0x00000270</v>
      </c>
      <c r="D226" s="15">
        <v>2</v>
      </c>
      <c r="E226" s="7" t="s">
        <v>636</v>
      </c>
      <c r="F226" s="15" t="s">
        <v>283</v>
      </c>
      <c r="G226" s="17" t="s">
        <v>0</v>
      </c>
      <c r="H226" s="15" t="s">
        <v>183</v>
      </c>
      <c r="I226" s="15" t="s">
        <v>183</v>
      </c>
      <c r="J226" s="15" t="s">
        <v>183</v>
      </c>
      <c r="K226" s="40" t="s">
        <v>460</v>
      </c>
      <c r="L226" s="46" t="s">
        <v>460</v>
      </c>
      <c r="M226" s="18" t="s">
        <v>276</v>
      </c>
      <c r="N226" s="31" t="s">
        <v>376</v>
      </c>
      <c r="O226" s="30" t="s">
        <v>375</v>
      </c>
      <c r="P226" s="39"/>
      <c r="Q226" s="39"/>
    </row>
    <row r="227" spans="1:17" s="3" customFormat="1" ht="30" x14ac:dyDescent="0.25">
      <c r="A227" s="4" t="s">
        <v>234</v>
      </c>
      <c r="B227" s="15">
        <f t="shared" si="16"/>
        <v>626</v>
      </c>
      <c r="C227" s="15" t="str">
        <f t="shared" si="15"/>
        <v>0x00000272</v>
      </c>
      <c r="D227" s="15">
        <v>2</v>
      </c>
      <c r="E227" s="7" t="s">
        <v>637</v>
      </c>
      <c r="F227" s="15" t="s">
        <v>283</v>
      </c>
      <c r="G227" s="17" t="s">
        <v>0</v>
      </c>
      <c r="H227" s="15" t="s">
        <v>183</v>
      </c>
      <c r="I227" s="15" t="s">
        <v>183</v>
      </c>
      <c r="J227" s="15" t="s">
        <v>183</v>
      </c>
      <c r="K227" s="40" t="s">
        <v>461</v>
      </c>
      <c r="L227" s="46" t="s">
        <v>461</v>
      </c>
      <c r="M227" s="18" t="s">
        <v>276</v>
      </c>
      <c r="N227" s="31" t="s">
        <v>376</v>
      </c>
      <c r="O227" s="30" t="s">
        <v>375</v>
      </c>
      <c r="P227" s="39"/>
      <c r="Q227" s="39"/>
    </row>
    <row r="228" spans="1:17" s="3" customFormat="1" ht="30" x14ac:dyDescent="0.25">
      <c r="A228" s="4" t="s">
        <v>234</v>
      </c>
      <c r="B228" s="15">
        <f t="shared" si="16"/>
        <v>628</v>
      </c>
      <c r="C228" s="15" t="str">
        <f t="shared" si="15"/>
        <v>0x00000274</v>
      </c>
      <c r="D228" s="15">
        <v>2</v>
      </c>
      <c r="E228" s="7" t="s">
        <v>638</v>
      </c>
      <c r="F228" s="15" t="s">
        <v>283</v>
      </c>
      <c r="G228" s="17" t="s">
        <v>0</v>
      </c>
      <c r="H228" s="15" t="s">
        <v>183</v>
      </c>
      <c r="I228" s="15" t="s">
        <v>183</v>
      </c>
      <c r="J228" s="15" t="s">
        <v>183</v>
      </c>
      <c r="K228" s="40" t="s">
        <v>462</v>
      </c>
      <c r="L228" s="46" t="s">
        <v>462</v>
      </c>
      <c r="M228" s="18" t="s">
        <v>276</v>
      </c>
      <c r="N228" s="31" t="s">
        <v>376</v>
      </c>
      <c r="O228" s="30" t="s">
        <v>375</v>
      </c>
      <c r="P228" s="39"/>
      <c r="Q228" s="39"/>
    </row>
    <row r="229" spans="1:17" s="3" customFormat="1" ht="30" x14ac:dyDescent="0.25">
      <c r="A229" s="4" t="s">
        <v>234</v>
      </c>
      <c r="B229" s="15">
        <f t="shared" si="16"/>
        <v>630</v>
      </c>
      <c r="C229" s="15" t="str">
        <f t="shared" si="15"/>
        <v>0x00000276</v>
      </c>
      <c r="D229" s="15">
        <v>2</v>
      </c>
      <c r="E229" s="7" t="s">
        <v>639</v>
      </c>
      <c r="F229" s="15" t="s">
        <v>283</v>
      </c>
      <c r="G229" s="17" t="s">
        <v>0</v>
      </c>
      <c r="H229" s="15" t="s">
        <v>183</v>
      </c>
      <c r="I229" s="15" t="s">
        <v>183</v>
      </c>
      <c r="J229" s="15" t="s">
        <v>183</v>
      </c>
      <c r="K229" s="40" t="s">
        <v>463</v>
      </c>
      <c r="L229" s="46" t="s">
        <v>463</v>
      </c>
      <c r="M229" s="18" t="s">
        <v>276</v>
      </c>
      <c r="N229" s="31" t="s">
        <v>376</v>
      </c>
      <c r="O229" s="30" t="s">
        <v>375</v>
      </c>
      <c r="P229" s="39"/>
      <c r="Q229" s="39"/>
    </row>
    <row r="230" spans="1:17" s="3" customFormat="1" ht="30" x14ac:dyDescent="0.25">
      <c r="A230" s="4" t="s">
        <v>234</v>
      </c>
      <c r="B230" s="15">
        <f t="shared" si="16"/>
        <v>632</v>
      </c>
      <c r="C230" s="15" t="str">
        <f t="shared" si="15"/>
        <v>0x00000278</v>
      </c>
      <c r="D230" s="15">
        <v>2</v>
      </c>
      <c r="E230" s="7" t="s">
        <v>640</v>
      </c>
      <c r="F230" s="15" t="s">
        <v>283</v>
      </c>
      <c r="G230" s="17" t="s">
        <v>0</v>
      </c>
      <c r="H230" s="15" t="s">
        <v>183</v>
      </c>
      <c r="I230" s="15" t="s">
        <v>183</v>
      </c>
      <c r="J230" s="15" t="s">
        <v>183</v>
      </c>
      <c r="K230" s="40" t="s">
        <v>464</v>
      </c>
      <c r="L230" s="46" t="s">
        <v>464</v>
      </c>
      <c r="M230" s="18" t="s">
        <v>276</v>
      </c>
      <c r="N230" s="31" t="s">
        <v>376</v>
      </c>
      <c r="O230" s="30" t="s">
        <v>375</v>
      </c>
      <c r="P230" s="39"/>
      <c r="Q230" s="39"/>
    </row>
    <row r="231" spans="1:17" s="3" customFormat="1" ht="30" x14ac:dyDescent="0.25">
      <c r="A231" s="4" t="s">
        <v>234</v>
      </c>
      <c r="B231" s="15">
        <f t="shared" si="16"/>
        <v>634</v>
      </c>
      <c r="C231" s="15" t="str">
        <f t="shared" si="15"/>
        <v>0x0000027A</v>
      </c>
      <c r="D231" s="15">
        <v>2</v>
      </c>
      <c r="E231" s="7" t="s">
        <v>641</v>
      </c>
      <c r="F231" s="15" t="s">
        <v>283</v>
      </c>
      <c r="G231" s="17" t="s">
        <v>0</v>
      </c>
      <c r="H231" s="15" t="s">
        <v>183</v>
      </c>
      <c r="I231" s="15" t="s">
        <v>183</v>
      </c>
      <c r="J231" s="15" t="s">
        <v>183</v>
      </c>
      <c r="K231" s="40" t="s">
        <v>465</v>
      </c>
      <c r="L231" s="46" t="s">
        <v>465</v>
      </c>
      <c r="M231" s="18" t="s">
        <v>276</v>
      </c>
      <c r="N231" s="31" t="s">
        <v>376</v>
      </c>
      <c r="O231" s="30" t="s">
        <v>375</v>
      </c>
      <c r="P231" s="39"/>
      <c r="Q231" s="39"/>
    </row>
    <row r="232" spans="1:17" s="3" customFormat="1" ht="30" x14ac:dyDescent="0.25">
      <c r="A232" s="4" t="s">
        <v>234</v>
      </c>
      <c r="B232" s="15">
        <f t="shared" si="16"/>
        <v>636</v>
      </c>
      <c r="C232" s="15" t="str">
        <f t="shared" si="15"/>
        <v>0x0000027C</v>
      </c>
      <c r="D232" s="15">
        <v>2</v>
      </c>
      <c r="E232" s="7" t="s">
        <v>642</v>
      </c>
      <c r="F232" s="15" t="s">
        <v>283</v>
      </c>
      <c r="G232" s="17" t="s">
        <v>0</v>
      </c>
      <c r="H232" s="15" t="s">
        <v>183</v>
      </c>
      <c r="I232" s="15" t="s">
        <v>183</v>
      </c>
      <c r="J232" s="15" t="s">
        <v>183</v>
      </c>
      <c r="K232" s="40" t="s">
        <v>466</v>
      </c>
      <c r="L232" s="46" t="s">
        <v>466</v>
      </c>
      <c r="M232" s="18" t="s">
        <v>276</v>
      </c>
      <c r="N232" s="31" t="s">
        <v>376</v>
      </c>
      <c r="O232" s="30" t="s">
        <v>375</v>
      </c>
      <c r="P232" s="39"/>
      <c r="Q232" s="39"/>
    </row>
    <row r="233" spans="1:17" s="3" customFormat="1" ht="30" x14ac:dyDescent="0.25">
      <c r="A233" s="4" t="s">
        <v>234</v>
      </c>
      <c r="B233" s="15">
        <f t="shared" si="16"/>
        <v>638</v>
      </c>
      <c r="C233" s="15" t="str">
        <f t="shared" si="15"/>
        <v>0x0000027E</v>
      </c>
      <c r="D233" s="15">
        <v>2</v>
      </c>
      <c r="E233" s="7" t="s">
        <v>643</v>
      </c>
      <c r="F233" s="15" t="s">
        <v>283</v>
      </c>
      <c r="G233" s="17" t="s">
        <v>0</v>
      </c>
      <c r="H233" s="15" t="s">
        <v>183</v>
      </c>
      <c r="I233" s="15" t="s">
        <v>183</v>
      </c>
      <c r="J233" s="15" t="s">
        <v>183</v>
      </c>
      <c r="K233" s="40" t="s">
        <v>467</v>
      </c>
      <c r="L233" s="46" t="s">
        <v>467</v>
      </c>
      <c r="M233" s="18" t="s">
        <v>276</v>
      </c>
      <c r="N233" s="31" t="s">
        <v>376</v>
      </c>
      <c r="O233" s="30" t="s">
        <v>375</v>
      </c>
      <c r="P233" s="39"/>
      <c r="Q233" s="39"/>
    </row>
    <row r="234" spans="1:17" s="3" customFormat="1" ht="30" x14ac:dyDescent="0.25">
      <c r="A234" s="4" t="s">
        <v>234</v>
      </c>
      <c r="B234" s="15">
        <f t="shared" si="16"/>
        <v>640</v>
      </c>
      <c r="C234" s="15" t="str">
        <f t="shared" si="15"/>
        <v>0x00000280</v>
      </c>
      <c r="D234" s="15">
        <v>2</v>
      </c>
      <c r="E234" s="7" t="s">
        <v>644</v>
      </c>
      <c r="F234" s="15" t="s">
        <v>283</v>
      </c>
      <c r="G234" s="17" t="s">
        <v>0</v>
      </c>
      <c r="H234" s="15" t="s">
        <v>183</v>
      </c>
      <c r="I234" s="15" t="s">
        <v>183</v>
      </c>
      <c r="J234" s="15" t="s">
        <v>183</v>
      </c>
      <c r="K234" s="40" t="s">
        <v>468</v>
      </c>
      <c r="L234" s="46" t="s">
        <v>468</v>
      </c>
      <c r="M234" s="18" t="s">
        <v>276</v>
      </c>
      <c r="N234" s="31" t="s">
        <v>376</v>
      </c>
      <c r="O234" s="30" t="s">
        <v>375</v>
      </c>
      <c r="P234" s="39"/>
      <c r="Q234" s="39"/>
    </row>
    <row r="235" spans="1:17" s="3" customFormat="1" ht="30" x14ac:dyDescent="0.25">
      <c r="A235" s="4" t="s">
        <v>234</v>
      </c>
      <c r="B235" s="15">
        <f t="shared" si="16"/>
        <v>642</v>
      </c>
      <c r="C235" s="15" t="str">
        <f t="shared" si="15"/>
        <v>0x00000282</v>
      </c>
      <c r="D235" s="15">
        <v>2</v>
      </c>
      <c r="E235" s="7" t="s">
        <v>645</v>
      </c>
      <c r="F235" s="15" t="s">
        <v>283</v>
      </c>
      <c r="G235" s="17" t="s">
        <v>0</v>
      </c>
      <c r="H235" s="15" t="s">
        <v>183</v>
      </c>
      <c r="I235" s="15" t="s">
        <v>183</v>
      </c>
      <c r="J235" s="15" t="s">
        <v>183</v>
      </c>
      <c r="K235" s="40" t="s">
        <v>469</v>
      </c>
      <c r="L235" s="46" t="s">
        <v>469</v>
      </c>
      <c r="M235" s="18" t="s">
        <v>276</v>
      </c>
      <c r="N235" s="31" t="s">
        <v>376</v>
      </c>
      <c r="O235" s="30" t="s">
        <v>375</v>
      </c>
      <c r="P235" s="39"/>
      <c r="Q235" s="39"/>
    </row>
    <row r="236" spans="1:17" s="3" customFormat="1" ht="30" x14ac:dyDescent="0.25">
      <c r="A236" s="4" t="s">
        <v>234</v>
      </c>
      <c r="B236" s="15">
        <f t="shared" si="16"/>
        <v>644</v>
      </c>
      <c r="C236" s="15" t="str">
        <f t="shared" si="15"/>
        <v>0x00000284</v>
      </c>
      <c r="D236" s="15">
        <v>2</v>
      </c>
      <c r="E236" s="7" t="s">
        <v>646</v>
      </c>
      <c r="F236" s="15" t="s">
        <v>283</v>
      </c>
      <c r="G236" s="17" t="s">
        <v>0</v>
      </c>
      <c r="H236" s="15" t="s">
        <v>183</v>
      </c>
      <c r="I236" s="15" t="s">
        <v>183</v>
      </c>
      <c r="J236" s="15" t="s">
        <v>183</v>
      </c>
      <c r="K236" s="40" t="s">
        <v>470</v>
      </c>
      <c r="L236" s="46" t="s">
        <v>470</v>
      </c>
      <c r="M236" s="18" t="s">
        <v>276</v>
      </c>
      <c r="N236" s="31" t="s">
        <v>376</v>
      </c>
      <c r="O236" s="30" t="s">
        <v>375</v>
      </c>
      <c r="P236" s="39"/>
      <c r="Q236" s="39"/>
    </row>
    <row r="237" spans="1:17" s="3" customFormat="1" ht="30" x14ac:dyDescent="0.25">
      <c r="A237" s="4" t="s">
        <v>234</v>
      </c>
      <c r="B237" s="15">
        <f t="shared" si="16"/>
        <v>646</v>
      </c>
      <c r="C237" s="15" t="str">
        <f t="shared" si="15"/>
        <v>0x00000286</v>
      </c>
      <c r="D237" s="15">
        <v>2</v>
      </c>
      <c r="E237" s="7" t="s">
        <v>647</v>
      </c>
      <c r="F237" s="15" t="s">
        <v>283</v>
      </c>
      <c r="G237" s="17" t="s">
        <v>0</v>
      </c>
      <c r="H237" s="15" t="s">
        <v>183</v>
      </c>
      <c r="I237" s="15" t="s">
        <v>183</v>
      </c>
      <c r="J237" s="15" t="s">
        <v>183</v>
      </c>
      <c r="K237" s="40" t="s">
        <v>471</v>
      </c>
      <c r="L237" s="46" t="s">
        <v>471</v>
      </c>
      <c r="M237" s="18" t="s">
        <v>276</v>
      </c>
      <c r="N237" s="31" t="s">
        <v>376</v>
      </c>
      <c r="O237" s="30" t="s">
        <v>375</v>
      </c>
      <c r="P237" s="39"/>
      <c r="Q237" s="39"/>
    </row>
    <row r="238" spans="1:17" s="3" customFormat="1" ht="30" x14ac:dyDescent="0.25">
      <c r="A238" s="4" t="s">
        <v>234</v>
      </c>
      <c r="B238" s="15">
        <f t="shared" si="16"/>
        <v>648</v>
      </c>
      <c r="C238" s="15" t="str">
        <f t="shared" si="15"/>
        <v>0x00000288</v>
      </c>
      <c r="D238" s="15">
        <v>2</v>
      </c>
      <c r="E238" s="7" t="s">
        <v>648</v>
      </c>
      <c r="F238" s="15" t="s">
        <v>283</v>
      </c>
      <c r="G238" s="17" t="s">
        <v>0</v>
      </c>
      <c r="H238" s="15" t="s">
        <v>183</v>
      </c>
      <c r="I238" s="15" t="s">
        <v>183</v>
      </c>
      <c r="J238" s="15" t="s">
        <v>183</v>
      </c>
      <c r="K238" s="40" t="s">
        <v>472</v>
      </c>
      <c r="L238" s="46" t="s">
        <v>472</v>
      </c>
      <c r="M238" s="18" t="s">
        <v>276</v>
      </c>
      <c r="N238" s="31" t="s">
        <v>376</v>
      </c>
      <c r="O238" s="30" t="s">
        <v>375</v>
      </c>
      <c r="P238" s="39"/>
      <c r="Q238" s="39"/>
    </row>
    <row r="239" spans="1:17" s="3" customFormat="1" ht="30" x14ac:dyDescent="0.25">
      <c r="A239" s="4" t="s">
        <v>234</v>
      </c>
      <c r="B239" s="15">
        <f t="shared" si="16"/>
        <v>650</v>
      </c>
      <c r="C239" s="15" t="str">
        <f t="shared" si="15"/>
        <v>0x0000028A</v>
      </c>
      <c r="D239" s="15">
        <v>2</v>
      </c>
      <c r="E239" s="7" t="s">
        <v>649</v>
      </c>
      <c r="F239" s="15" t="s">
        <v>283</v>
      </c>
      <c r="G239" s="17" t="s">
        <v>0</v>
      </c>
      <c r="H239" s="15" t="s">
        <v>183</v>
      </c>
      <c r="I239" s="15" t="s">
        <v>183</v>
      </c>
      <c r="J239" s="15" t="s">
        <v>183</v>
      </c>
      <c r="K239" s="40" t="s">
        <v>473</v>
      </c>
      <c r="L239" s="46" t="s">
        <v>473</v>
      </c>
      <c r="M239" s="18" t="s">
        <v>276</v>
      </c>
      <c r="N239" s="31" t="s">
        <v>376</v>
      </c>
      <c r="O239" s="30" t="s">
        <v>375</v>
      </c>
      <c r="P239" s="39"/>
      <c r="Q239" s="39"/>
    </row>
    <row r="240" spans="1:17" s="3" customFormat="1" ht="30" x14ac:dyDescent="0.25">
      <c r="A240" s="4" t="s">
        <v>234</v>
      </c>
      <c r="B240" s="15">
        <f t="shared" si="16"/>
        <v>652</v>
      </c>
      <c r="C240" s="15" t="str">
        <f t="shared" si="15"/>
        <v>0x0000028C</v>
      </c>
      <c r="D240" s="15">
        <v>2</v>
      </c>
      <c r="E240" s="7" t="s">
        <v>650</v>
      </c>
      <c r="F240" s="15" t="s">
        <v>283</v>
      </c>
      <c r="G240" s="17" t="s">
        <v>0</v>
      </c>
      <c r="H240" s="15" t="s">
        <v>183</v>
      </c>
      <c r="I240" s="15" t="s">
        <v>183</v>
      </c>
      <c r="J240" s="15" t="s">
        <v>183</v>
      </c>
      <c r="K240" s="40" t="s">
        <v>474</v>
      </c>
      <c r="L240" s="46" t="s">
        <v>474</v>
      </c>
      <c r="M240" s="18" t="s">
        <v>276</v>
      </c>
      <c r="N240" s="31" t="s">
        <v>376</v>
      </c>
      <c r="O240" s="30" t="s">
        <v>375</v>
      </c>
      <c r="P240" s="39"/>
      <c r="Q240" s="39"/>
    </row>
    <row r="241" spans="1:17" s="3" customFormat="1" ht="30" x14ac:dyDescent="0.25">
      <c r="A241" s="4" t="s">
        <v>234</v>
      </c>
      <c r="B241" s="15">
        <f t="shared" si="16"/>
        <v>654</v>
      </c>
      <c r="C241" s="15" t="str">
        <f t="shared" si="15"/>
        <v>0x0000028E</v>
      </c>
      <c r="D241" s="15">
        <v>2</v>
      </c>
      <c r="E241" s="7" t="s">
        <v>651</v>
      </c>
      <c r="F241" s="15" t="s">
        <v>283</v>
      </c>
      <c r="G241" s="17" t="s">
        <v>0</v>
      </c>
      <c r="H241" s="15" t="s">
        <v>183</v>
      </c>
      <c r="I241" s="15" t="s">
        <v>183</v>
      </c>
      <c r="J241" s="15" t="s">
        <v>183</v>
      </c>
      <c r="K241" s="40" t="s">
        <v>475</v>
      </c>
      <c r="L241" s="46" t="s">
        <v>475</v>
      </c>
      <c r="M241" s="18" t="s">
        <v>276</v>
      </c>
      <c r="N241" s="31" t="s">
        <v>376</v>
      </c>
      <c r="O241" s="30" t="s">
        <v>375</v>
      </c>
      <c r="P241" s="39"/>
      <c r="Q241" s="39"/>
    </row>
    <row r="242" spans="1:17" s="3" customFormat="1" ht="30" x14ac:dyDescent="0.25">
      <c r="A242" s="4" t="s">
        <v>234</v>
      </c>
      <c r="B242" s="15">
        <f t="shared" si="16"/>
        <v>656</v>
      </c>
      <c r="C242" s="15" t="str">
        <f t="shared" si="15"/>
        <v>0x00000290</v>
      </c>
      <c r="D242" s="15">
        <v>2</v>
      </c>
      <c r="E242" s="7" t="s">
        <v>652</v>
      </c>
      <c r="F242" s="15" t="s">
        <v>283</v>
      </c>
      <c r="G242" s="17" t="s">
        <v>0</v>
      </c>
      <c r="H242" s="15" t="s">
        <v>183</v>
      </c>
      <c r="I242" s="15" t="s">
        <v>183</v>
      </c>
      <c r="J242" s="15" t="s">
        <v>183</v>
      </c>
      <c r="K242" s="40" t="s">
        <v>476</v>
      </c>
      <c r="L242" s="46" t="s">
        <v>476</v>
      </c>
      <c r="M242" s="18" t="s">
        <v>276</v>
      </c>
      <c r="N242" s="31" t="s">
        <v>376</v>
      </c>
      <c r="O242" s="30" t="s">
        <v>375</v>
      </c>
      <c r="P242" s="39"/>
      <c r="Q242" s="39"/>
    </row>
    <row r="243" spans="1:17" s="3" customFormat="1" ht="30" x14ac:dyDescent="0.25">
      <c r="A243" s="4" t="s">
        <v>234</v>
      </c>
      <c r="B243" s="15">
        <f t="shared" si="16"/>
        <v>658</v>
      </c>
      <c r="C243" s="15" t="str">
        <f t="shared" ref="C243:C274" si="17">CONCATENATE("0x",DEC2HEX(B243,8))</f>
        <v>0x00000292</v>
      </c>
      <c r="D243" s="15">
        <v>2</v>
      </c>
      <c r="E243" s="7" t="s">
        <v>653</v>
      </c>
      <c r="F243" s="15" t="s">
        <v>283</v>
      </c>
      <c r="G243" s="17" t="s">
        <v>0</v>
      </c>
      <c r="H243" s="15" t="s">
        <v>183</v>
      </c>
      <c r="I243" s="15" t="s">
        <v>183</v>
      </c>
      <c r="J243" s="15" t="s">
        <v>183</v>
      </c>
      <c r="K243" s="40" t="s">
        <v>476</v>
      </c>
      <c r="L243" s="46" t="s">
        <v>476</v>
      </c>
      <c r="M243" s="18" t="s">
        <v>276</v>
      </c>
      <c r="N243" s="31" t="s">
        <v>376</v>
      </c>
      <c r="O243" s="30" t="s">
        <v>375</v>
      </c>
      <c r="P243" s="39"/>
      <c r="Q243" s="39"/>
    </row>
    <row r="244" spans="1:17" s="3" customFormat="1" ht="30" x14ac:dyDescent="0.25">
      <c r="A244" s="4" t="s">
        <v>234</v>
      </c>
      <c r="B244" s="15">
        <f t="shared" si="16"/>
        <v>660</v>
      </c>
      <c r="C244" s="15" t="str">
        <f t="shared" si="17"/>
        <v>0x00000294</v>
      </c>
      <c r="D244" s="15">
        <v>2</v>
      </c>
      <c r="E244" s="7" t="s">
        <v>654</v>
      </c>
      <c r="F244" s="15" t="s">
        <v>283</v>
      </c>
      <c r="G244" s="17" t="s">
        <v>0</v>
      </c>
      <c r="H244" s="15" t="s">
        <v>183</v>
      </c>
      <c r="I244" s="15" t="s">
        <v>183</v>
      </c>
      <c r="J244" s="15" t="s">
        <v>183</v>
      </c>
      <c r="K244" s="40" t="s">
        <v>476</v>
      </c>
      <c r="L244" s="46" t="s">
        <v>476</v>
      </c>
      <c r="M244" s="18" t="s">
        <v>276</v>
      </c>
      <c r="N244" s="31" t="s">
        <v>376</v>
      </c>
      <c r="O244" s="30" t="s">
        <v>375</v>
      </c>
      <c r="P244" s="39"/>
      <c r="Q244" s="39"/>
    </row>
    <row r="245" spans="1:17" s="3" customFormat="1" ht="30" x14ac:dyDescent="0.25">
      <c r="A245" s="4" t="s">
        <v>234</v>
      </c>
      <c r="B245" s="15">
        <f t="shared" si="16"/>
        <v>662</v>
      </c>
      <c r="C245" s="15" t="str">
        <f t="shared" si="17"/>
        <v>0x00000296</v>
      </c>
      <c r="D245" s="15">
        <v>2</v>
      </c>
      <c r="E245" s="7" t="s">
        <v>655</v>
      </c>
      <c r="F245" s="15" t="s">
        <v>283</v>
      </c>
      <c r="G245" s="17" t="s">
        <v>0</v>
      </c>
      <c r="H245" s="15" t="s">
        <v>183</v>
      </c>
      <c r="I245" s="15" t="s">
        <v>183</v>
      </c>
      <c r="J245" s="15" t="s">
        <v>183</v>
      </c>
      <c r="K245" s="40" t="s">
        <v>476</v>
      </c>
      <c r="L245" s="46" t="s">
        <v>476</v>
      </c>
      <c r="M245" s="18" t="s">
        <v>276</v>
      </c>
      <c r="N245" s="31" t="s">
        <v>376</v>
      </c>
      <c r="O245" s="30" t="s">
        <v>375</v>
      </c>
      <c r="P245" s="39"/>
      <c r="Q245" s="39"/>
    </row>
    <row r="246" spans="1:17" s="3" customFormat="1" ht="30" x14ac:dyDescent="0.25">
      <c r="A246" s="4" t="s">
        <v>234</v>
      </c>
      <c r="B246" s="15">
        <f t="shared" si="16"/>
        <v>664</v>
      </c>
      <c r="C246" s="15" t="str">
        <f t="shared" si="17"/>
        <v>0x00000298</v>
      </c>
      <c r="D246" s="15">
        <v>2</v>
      </c>
      <c r="E246" s="7" t="s">
        <v>656</v>
      </c>
      <c r="F246" s="15" t="s">
        <v>283</v>
      </c>
      <c r="G246" s="17" t="s">
        <v>0</v>
      </c>
      <c r="H246" s="15" t="s">
        <v>183</v>
      </c>
      <c r="I246" s="15" t="s">
        <v>183</v>
      </c>
      <c r="J246" s="15" t="s">
        <v>183</v>
      </c>
      <c r="K246" s="40" t="s">
        <v>476</v>
      </c>
      <c r="L246" s="46" t="s">
        <v>476</v>
      </c>
      <c r="M246" s="18" t="s">
        <v>276</v>
      </c>
      <c r="N246" s="31" t="s">
        <v>376</v>
      </c>
      <c r="O246" s="30" t="s">
        <v>375</v>
      </c>
      <c r="P246" s="39"/>
      <c r="Q246" s="39"/>
    </row>
    <row r="247" spans="1:17" s="3" customFormat="1" ht="30" x14ac:dyDescent="0.25">
      <c r="A247" s="4" t="s">
        <v>234</v>
      </c>
      <c r="B247" s="15">
        <f t="shared" si="16"/>
        <v>666</v>
      </c>
      <c r="C247" s="15" t="str">
        <f t="shared" si="17"/>
        <v>0x0000029A</v>
      </c>
      <c r="D247" s="15">
        <v>2</v>
      </c>
      <c r="E247" s="7" t="s">
        <v>657</v>
      </c>
      <c r="F247" s="15" t="s">
        <v>283</v>
      </c>
      <c r="G247" s="17" t="s">
        <v>0</v>
      </c>
      <c r="H247" s="15" t="s">
        <v>183</v>
      </c>
      <c r="I247" s="15" t="s">
        <v>183</v>
      </c>
      <c r="J247" s="15" t="s">
        <v>183</v>
      </c>
      <c r="K247" s="40" t="s">
        <v>476</v>
      </c>
      <c r="L247" s="46" t="s">
        <v>476</v>
      </c>
      <c r="M247" s="18" t="s">
        <v>276</v>
      </c>
      <c r="N247" s="31" t="s">
        <v>376</v>
      </c>
      <c r="O247" s="30" t="s">
        <v>375</v>
      </c>
      <c r="P247" s="39"/>
      <c r="Q247" s="39"/>
    </row>
    <row r="248" spans="1:17" s="3" customFormat="1" ht="30" x14ac:dyDescent="0.25">
      <c r="A248" s="4" t="s">
        <v>234</v>
      </c>
      <c r="B248" s="15">
        <f t="shared" si="16"/>
        <v>668</v>
      </c>
      <c r="C248" s="15" t="str">
        <f t="shared" si="17"/>
        <v>0x0000029C</v>
      </c>
      <c r="D248" s="15">
        <v>2</v>
      </c>
      <c r="E248" s="7" t="s">
        <v>658</v>
      </c>
      <c r="F248" s="15" t="s">
        <v>283</v>
      </c>
      <c r="G248" s="17" t="s">
        <v>0</v>
      </c>
      <c r="H248" s="15" t="s">
        <v>183</v>
      </c>
      <c r="I248" s="15" t="s">
        <v>183</v>
      </c>
      <c r="J248" s="15" t="s">
        <v>183</v>
      </c>
      <c r="K248" s="40" t="s">
        <v>476</v>
      </c>
      <c r="L248" s="46" t="s">
        <v>476</v>
      </c>
      <c r="M248" s="18" t="s">
        <v>276</v>
      </c>
      <c r="N248" s="31" t="s">
        <v>376</v>
      </c>
      <c r="O248" s="30" t="s">
        <v>375</v>
      </c>
      <c r="P248" s="39"/>
      <c r="Q248" s="39"/>
    </row>
    <row r="249" spans="1:17" s="3" customFormat="1" ht="30" x14ac:dyDescent="0.25">
      <c r="A249" s="4" t="s">
        <v>234</v>
      </c>
      <c r="B249" s="15">
        <f t="shared" si="16"/>
        <v>670</v>
      </c>
      <c r="C249" s="15" t="str">
        <f t="shared" si="17"/>
        <v>0x0000029E</v>
      </c>
      <c r="D249" s="15">
        <v>2</v>
      </c>
      <c r="E249" s="7" t="s">
        <v>659</v>
      </c>
      <c r="F249" s="15" t="s">
        <v>283</v>
      </c>
      <c r="G249" s="17" t="s">
        <v>0</v>
      </c>
      <c r="H249" s="15" t="s">
        <v>183</v>
      </c>
      <c r="I249" s="15" t="s">
        <v>183</v>
      </c>
      <c r="J249" s="15" t="s">
        <v>183</v>
      </c>
      <c r="K249" s="40" t="s">
        <v>476</v>
      </c>
      <c r="L249" s="46" t="s">
        <v>476</v>
      </c>
      <c r="M249" s="18" t="s">
        <v>276</v>
      </c>
      <c r="N249" s="31" t="s">
        <v>376</v>
      </c>
      <c r="O249" s="30" t="s">
        <v>375</v>
      </c>
      <c r="P249" s="39"/>
      <c r="Q249" s="39"/>
    </row>
    <row r="250" spans="1:17" s="3" customFormat="1" ht="30" x14ac:dyDescent="0.25">
      <c r="A250" s="4" t="s">
        <v>234</v>
      </c>
      <c r="B250" s="15">
        <f t="shared" si="16"/>
        <v>672</v>
      </c>
      <c r="C250" s="15" t="str">
        <f t="shared" si="17"/>
        <v>0x000002A0</v>
      </c>
      <c r="D250" s="15">
        <v>2</v>
      </c>
      <c r="E250" s="7" t="s">
        <v>660</v>
      </c>
      <c r="F250" s="15" t="s">
        <v>283</v>
      </c>
      <c r="G250" s="17" t="s">
        <v>0</v>
      </c>
      <c r="H250" s="15" t="s">
        <v>183</v>
      </c>
      <c r="I250" s="15" t="s">
        <v>183</v>
      </c>
      <c r="J250" s="15" t="s">
        <v>183</v>
      </c>
      <c r="K250" s="40" t="s">
        <v>476</v>
      </c>
      <c r="L250" s="46" t="s">
        <v>476</v>
      </c>
      <c r="M250" s="18" t="s">
        <v>276</v>
      </c>
      <c r="N250" s="31" t="s">
        <v>376</v>
      </c>
      <c r="O250" s="30" t="s">
        <v>375</v>
      </c>
      <c r="P250" s="39"/>
      <c r="Q250" s="39"/>
    </row>
    <row r="251" spans="1:17" s="3" customFormat="1" ht="30" x14ac:dyDescent="0.25">
      <c r="A251" s="4" t="s">
        <v>234</v>
      </c>
      <c r="B251" s="15">
        <f t="shared" si="16"/>
        <v>674</v>
      </c>
      <c r="C251" s="15" t="str">
        <f t="shared" si="17"/>
        <v>0x000002A2</v>
      </c>
      <c r="D251" s="15">
        <v>2</v>
      </c>
      <c r="E251" s="7" t="s">
        <v>661</v>
      </c>
      <c r="F251" s="15" t="s">
        <v>283</v>
      </c>
      <c r="G251" s="17" t="s">
        <v>0</v>
      </c>
      <c r="H251" s="15" t="s">
        <v>183</v>
      </c>
      <c r="I251" s="15" t="s">
        <v>183</v>
      </c>
      <c r="J251" s="15" t="s">
        <v>183</v>
      </c>
      <c r="K251" s="40" t="s">
        <v>476</v>
      </c>
      <c r="L251" s="46" t="s">
        <v>476</v>
      </c>
      <c r="M251" s="18" t="s">
        <v>276</v>
      </c>
      <c r="N251" s="31" t="s">
        <v>376</v>
      </c>
      <c r="O251" s="30" t="s">
        <v>375</v>
      </c>
      <c r="P251" s="39"/>
      <c r="Q251" s="39"/>
    </row>
    <row r="252" spans="1:17" s="3" customFormat="1" ht="30" x14ac:dyDescent="0.25">
      <c r="A252" s="4" t="s">
        <v>234</v>
      </c>
      <c r="B252" s="15">
        <f t="shared" si="16"/>
        <v>676</v>
      </c>
      <c r="C252" s="15" t="str">
        <f t="shared" si="17"/>
        <v>0x000002A4</v>
      </c>
      <c r="D252" s="15">
        <v>2</v>
      </c>
      <c r="E252" s="7" t="s">
        <v>662</v>
      </c>
      <c r="F252" s="15" t="s">
        <v>283</v>
      </c>
      <c r="G252" s="17" t="s">
        <v>0</v>
      </c>
      <c r="H252" s="15" t="s">
        <v>183</v>
      </c>
      <c r="I252" s="15" t="s">
        <v>183</v>
      </c>
      <c r="J252" s="15" t="s">
        <v>183</v>
      </c>
      <c r="K252" s="40" t="s">
        <v>476</v>
      </c>
      <c r="L252" s="46" t="s">
        <v>476</v>
      </c>
      <c r="M252" s="18" t="s">
        <v>276</v>
      </c>
      <c r="N252" s="31" t="s">
        <v>376</v>
      </c>
      <c r="O252" s="30" t="s">
        <v>375</v>
      </c>
      <c r="P252" s="39"/>
      <c r="Q252" s="39"/>
    </row>
    <row r="253" spans="1:17" s="3" customFormat="1" ht="30" x14ac:dyDescent="0.25">
      <c r="A253" s="4" t="s">
        <v>234</v>
      </c>
      <c r="B253" s="15">
        <f t="shared" si="16"/>
        <v>678</v>
      </c>
      <c r="C253" s="15" t="str">
        <f t="shared" si="17"/>
        <v>0x000002A6</v>
      </c>
      <c r="D253" s="15">
        <v>2</v>
      </c>
      <c r="E253" s="7" t="s">
        <v>663</v>
      </c>
      <c r="F253" s="15" t="s">
        <v>283</v>
      </c>
      <c r="G253" s="17" t="s">
        <v>0</v>
      </c>
      <c r="H253" s="15" t="s">
        <v>183</v>
      </c>
      <c r="I253" s="15" t="s">
        <v>183</v>
      </c>
      <c r="J253" s="15" t="s">
        <v>183</v>
      </c>
      <c r="K253" s="40" t="s">
        <v>476</v>
      </c>
      <c r="L253" s="46" t="s">
        <v>476</v>
      </c>
      <c r="M253" s="18" t="s">
        <v>276</v>
      </c>
      <c r="N253" s="31" t="s">
        <v>376</v>
      </c>
      <c r="O253" s="30" t="s">
        <v>375</v>
      </c>
      <c r="P253" s="39"/>
      <c r="Q253" s="39"/>
    </row>
    <row r="254" spans="1:17" s="3" customFormat="1" ht="30" x14ac:dyDescent="0.25">
      <c r="A254" s="4" t="s">
        <v>234</v>
      </c>
      <c r="B254" s="15">
        <f t="shared" si="16"/>
        <v>680</v>
      </c>
      <c r="C254" s="15" t="str">
        <f t="shared" si="17"/>
        <v>0x000002A8</v>
      </c>
      <c r="D254" s="15">
        <v>2</v>
      </c>
      <c r="E254" s="7" t="s">
        <v>664</v>
      </c>
      <c r="F254" s="15" t="s">
        <v>283</v>
      </c>
      <c r="G254" s="17" t="s">
        <v>0</v>
      </c>
      <c r="H254" s="15" t="s">
        <v>183</v>
      </c>
      <c r="I254" s="15" t="s">
        <v>183</v>
      </c>
      <c r="J254" s="15" t="s">
        <v>183</v>
      </c>
      <c r="K254" s="40" t="s">
        <v>476</v>
      </c>
      <c r="L254" s="46" t="s">
        <v>476</v>
      </c>
      <c r="M254" s="18" t="s">
        <v>276</v>
      </c>
      <c r="N254" s="31" t="s">
        <v>376</v>
      </c>
      <c r="O254" s="30" t="s">
        <v>375</v>
      </c>
      <c r="P254" s="39"/>
      <c r="Q254" s="39"/>
    </row>
    <row r="255" spans="1:17" s="3" customFormat="1" ht="30" x14ac:dyDescent="0.25">
      <c r="A255" s="4" t="s">
        <v>234</v>
      </c>
      <c r="B255" s="15">
        <f t="shared" si="16"/>
        <v>682</v>
      </c>
      <c r="C255" s="15" t="str">
        <f t="shared" si="17"/>
        <v>0x000002AA</v>
      </c>
      <c r="D255" s="15">
        <v>2</v>
      </c>
      <c r="E255" s="7" t="s">
        <v>665</v>
      </c>
      <c r="F255" s="15" t="s">
        <v>283</v>
      </c>
      <c r="G255" s="17" t="s">
        <v>0</v>
      </c>
      <c r="H255" s="15" t="s">
        <v>183</v>
      </c>
      <c r="I255" s="15" t="s">
        <v>183</v>
      </c>
      <c r="J255" s="15" t="s">
        <v>183</v>
      </c>
      <c r="K255" s="40" t="s">
        <v>476</v>
      </c>
      <c r="L255" s="46" t="s">
        <v>476</v>
      </c>
      <c r="M255" s="18" t="s">
        <v>276</v>
      </c>
      <c r="N255" s="31" t="s">
        <v>376</v>
      </c>
      <c r="O255" s="30" t="s">
        <v>375</v>
      </c>
      <c r="P255" s="39"/>
      <c r="Q255" s="39"/>
    </row>
    <row r="256" spans="1:17" s="3" customFormat="1" ht="30" x14ac:dyDescent="0.25">
      <c r="A256" s="4" t="s">
        <v>234</v>
      </c>
      <c r="B256" s="15">
        <f t="shared" si="16"/>
        <v>684</v>
      </c>
      <c r="C256" s="15" t="str">
        <f t="shared" si="17"/>
        <v>0x000002AC</v>
      </c>
      <c r="D256" s="15">
        <v>2</v>
      </c>
      <c r="E256" s="7" t="s">
        <v>666</v>
      </c>
      <c r="F256" s="15" t="s">
        <v>283</v>
      </c>
      <c r="G256" s="17" t="s">
        <v>0</v>
      </c>
      <c r="H256" s="15" t="s">
        <v>183</v>
      </c>
      <c r="I256" s="15" t="s">
        <v>183</v>
      </c>
      <c r="J256" s="15" t="s">
        <v>183</v>
      </c>
      <c r="K256" s="40" t="s">
        <v>476</v>
      </c>
      <c r="L256" s="46" t="s">
        <v>476</v>
      </c>
      <c r="M256" s="18" t="s">
        <v>276</v>
      </c>
      <c r="N256" s="31" t="s">
        <v>376</v>
      </c>
      <c r="O256" s="30" t="s">
        <v>375</v>
      </c>
      <c r="P256" s="39"/>
      <c r="Q256" s="39"/>
    </row>
    <row r="257" spans="1:17" s="3" customFormat="1" ht="30" x14ac:dyDescent="0.25">
      <c r="A257" s="4" t="s">
        <v>234</v>
      </c>
      <c r="B257" s="15">
        <f t="shared" si="16"/>
        <v>686</v>
      </c>
      <c r="C257" s="15" t="str">
        <f t="shared" si="17"/>
        <v>0x000002AE</v>
      </c>
      <c r="D257" s="15">
        <v>2</v>
      </c>
      <c r="E257" s="7" t="s">
        <v>667</v>
      </c>
      <c r="F257" s="15" t="s">
        <v>283</v>
      </c>
      <c r="G257" s="17" t="s">
        <v>0</v>
      </c>
      <c r="H257" s="15" t="s">
        <v>183</v>
      </c>
      <c r="I257" s="15" t="s">
        <v>183</v>
      </c>
      <c r="J257" s="15" t="s">
        <v>183</v>
      </c>
      <c r="K257" s="40" t="s">
        <v>476</v>
      </c>
      <c r="L257" s="46" t="s">
        <v>476</v>
      </c>
      <c r="M257" s="18" t="s">
        <v>276</v>
      </c>
      <c r="N257" s="31" t="s">
        <v>376</v>
      </c>
      <c r="O257" s="30" t="s">
        <v>375</v>
      </c>
      <c r="P257" s="39"/>
      <c r="Q257" s="39"/>
    </row>
    <row r="258" spans="1:17" s="3" customFormat="1" ht="30" x14ac:dyDescent="0.25">
      <c r="A258" s="4" t="s">
        <v>234</v>
      </c>
      <c r="B258" s="15">
        <f t="shared" si="16"/>
        <v>688</v>
      </c>
      <c r="C258" s="15" t="str">
        <f t="shared" si="17"/>
        <v>0x000002B0</v>
      </c>
      <c r="D258" s="15">
        <v>2</v>
      </c>
      <c r="E258" s="7" t="s">
        <v>668</v>
      </c>
      <c r="F258" s="15" t="s">
        <v>283</v>
      </c>
      <c r="G258" s="17" t="s">
        <v>0</v>
      </c>
      <c r="H258" s="15" t="s">
        <v>183</v>
      </c>
      <c r="I258" s="15" t="s">
        <v>183</v>
      </c>
      <c r="J258" s="15" t="s">
        <v>183</v>
      </c>
      <c r="K258" s="40" t="s">
        <v>476</v>
      </c>
      <c r="L258" s="46" t="s">
        <v>476</v>
      </c>
      <c r="M258" s="18" t="s">
        <v>276</v>
      </c>
      <c r="N258" s="31" t="s">
        <v>376</v>
      </c>
      <c r="O258" s="30" t="s">
        <v>375</v>
      </c>
      <c r="P258" s="39"/>
      <c r="Q258" s="39"/>
    </row>
    <row r="259" spans="1:17" s="3" customFormat="1" ht="30" x14ac:dyDescent="0.25">
      <c r="A259" s="4" t="s">
        <v>234</v>
      </c>
      <c r="B259" s="15">
        <f t="shared" si="16"/>
        <v>690</v>
      </c>
      <c r="C259" s="15" t="str">
        <f t="shared" si="17"/>
        <v>0x000002B2</v>
      </c>
      <c r="D259" s="15">
        <v>2</v>
      </c>
      <c r="E259" s="7" t="s">
        <v>669</v>
      </c>
      <c r="F259" s="15" t="s">
        <v>283</v>
      </c>
      <c r="G259" s="17" t="s">
        <v>0</v>
      </c>
      <c r="H259" s="15" t="s">
        <v>183</v>
      </c>
      <c r="I259" s="15" t="s">
        <v>183</v>
      </c>
      <c r="J259" s="15" t="s">
        <v>183</v>
      </c>
      <c r="K259" s="40" t="s">
        <v>476</v>
      </c>
      <c r="L259" s="46" t="s">
        <v>476</v>
      </c>
      <c r="M259" s="18" t="s">
        <v>276</v>
      </c>
      <c r="N259" s="31" t="s">
        <v>376</v>
      </c>
      <c r="O259" s="30" t="s">
        <v>375</v>
      </c>
      <c r="P259" s="39"/>
      <c r="Q259" s="39"/>
    </row>
    <row r="260" spans="1:17" s="3" customFormat="1" ht="30" x14ac:dyDescent="0.25">
      <c r="A260" s="4" t="s">
        <v>234</v>
      </c>
      <c r="B260" s="15">
        <f t="shared" si="16"/>
        <v>692</v>
      </c>
      <c r="C260" s="15" t="str">
        <f t="shared" si="17"/>
        <v>0x000002B4</v>
      </c>
      <c r="D260" s="15">
        <v>2</v>
      </c>
      <c r="E260" s="7" t="s">
        <v>670</v>
      </c>
      <c r="F260" s="15" t="s">
        <v>283</v>
      </c>
      <c r="G260" s="17" t="s">
        <v>0</v>
      </c>
      <c r="H260" s="15" t="s">
        <v>183</v>
      </c>
      <c r="I260" s="15" t="s">
        <v>183</v>
      </c>
      <c r="J260" s="15" t="s">
        <v>183</v>
      </c>
      <c r="K260" s="40" t="s">
        <v>476</v>
      </c>
      <c r="L260" s="46" t="s">
        <v>476</v>
      </c>
      <c r="M260" s="18" t="s">
        <v>276</v>
      </c>
      <c r="N260" s="31" t="s">
        <v>376</v>
      </c>
      <c r="O260" s="30" t="s">
        <v>375</v>
      </c>
      <c r="P260" s="39"/>
      <c r="Q260" s="39"/>
    </row>
    <row r="261" spans="1:17" s="3" customFormat="1" ht="30" x14ac:dyDescent="0.25">
      <c r="A261" s="4" t="s">
        <v>234</v>
      </c>
      <c r="B261" s="15">
        <f t="shared" si="16"/>
        <v>694</v>
      </c>
      <c r="C261" s="15" t="str">
        <f t="shared" si="17"/>
        <v>0x000002B6</v>
      </c>
      <c r="D261" s="15">
        <v>2</v>
      </c>
      <c r="E261" s="7" t="s">
        <v>671</v>
      </c>
      <c r="F261" s="15" t="s">
        <v>283</v>
      </c>
      <c r="G261" s="17" t="s">
        <v>0</v>
      </c>
      <c r="H261" s="15" t="s">
        <v>183</v>
      </c>
      <c r="I261" s="15" t="s">
        <v>183</v>
      </c>
      <c r="J261" s="15" t="s">
        <v>183</v>
      </c>
      <c r="K261" s="40" t="s">
        <v>476</v>
      </c>
      <c r="L261" s="46" t="s">
        <v>476</v>
      </c>
      <c r="M261" s="18" t="s">
        <v>276</v>
      </c>
      <c r="N261" s="31" t="s">
        <v>376</v>
      </c>
      <c r="O261" s="30" t="s">
        <v>375</v>
      </c>
      <c r="P261" s="39"/>
      <c r="Q261" s="39"/>
    </row>
    <row r="262" spans="1:17" s="3" customFormat="1" ht="30" x14ac:dyDescent="0.25">
      <c r="A262" s="4" t="s">
        <v>234</v>
      </c>
      <c r="B262" s="15">
        <f t="shared" si="16"/>
        <v>696</v>
      </c>
      <c r="C262" s="15" t="str">
        <f t="shared" si="17"/>
        <v>0x000002B8</v>
      </c>
      <c r="D262" s="15">
        <v>2</v>
      </c>
      <c r="E262" s="7" t="s">
        <v>672</v>
      </c>
      <c r="F262" s="15" t="s">
        <v>283</v>
      </c>
      <c r="G262" s="17" t="s">
        <v>0</v>
      </c>
      <c r="H262" s="15" t="s">
        <v>183</v>
      </c>
      <c r="I262" s="15" t="s">
        <v>183</v>
      </c>
      <c r="J262" s="15" t="s">
        <v>183</v>
      </c>
      <c r="K262" s="40" t="s">
        <v>476</v>
      </c>
      <c r="L262" s="46" t="s">
        <v>476</v>
      </c>
      <c r="M262" s="18" t="s">
        <v>276</v>
      </c>
      <c r="N262" s="31" t="s">
        <v>376</v>
      </c>
      <c r="O262" s="30" t="s">
        <v>375</v>
      </c>
      <c r="P262" s="39"/>
      <c r="Q262" s="39"/>
    </row>
    <row r="263" spans="1:17" s="3" customFormat="1" ht="30" x14ac:dyDescent="0.25">
      <c r="A263" s="4" t="s">
        <v>234</v>
      </c>
      <c r="B263" s="15">
        <f t="shared" si="16"/>
        <v>698</v>
      </c>
      <c r="C263" s="15" t="str">
        <f t="shared" si="17"/>
        <v>0x000002BA</v>
      </c>
      <c r="D263" s="15">
        <v>2</v>
      </c>
      <c r="E263" s="7" t="s">
        <v>673</v>
      </c>
      <c r="F263" s="15" t="s">
        <v>283</v>
      </c>
      <c r="G263" s="17" t="s">
        <v>0</v>
      </c>
      <c r="H263" s="15" t="s">
        <v>183</v>
      </c>
      <c r="I263" s="15" t="s">
        <v>183</v>
      </c>
      <c r="J263" s="15" t="s">
        <v>183</v>
      </c>
      <c r="K263" s="40" t="s">
        <v>476</v>
      </c>
      <c r="L263" s="46" t="s">
        <v>476</v>
      </c>
      <c r="M263" s="18" t="s">
        <v>276</v>
      </c>
      <c r="N263" s="31" t="s">
        <v>376</v>
      </c>
      <c r="O263" s="30" t="s">
        <v>375</v>
      </c>
      <c r="P263" s="39"/>
      <c r="Q263" s="39"/>
    </row>
    <row r="264" spans="1:17" s="3" customFormat="1" ht="30" x14ac:dyDescent="0.25">
      <c r="A264" s="4" t="s">
        <v>234</v>
      </c>
      <c r="B264" s="15">
        <f t="shared" si="16"/>
        <v>700</v>
      </c>
      <c r="C264" s="15" t="str">
        <f t="shared" si="17"/>
        <v>0x000002BC</v>
      </c>
      <c r="D264" s="15">
        <v>2</v>
      </c>
      <c r="E264" s="7" t="s">
        <v>674</v>
      </c>
      <c r="F264" s="15" t="s">
        <v>283</v>
      </c>
      <c r="G264" s="17" t="s">
        <v>0</v>
      </c>
      <c r="H264" s="15" t="s">
        <v>183</v>
      </c>
      <c r="I264" s="15" t="s">
        <v>183</v>
      </c>
      <c r="J264" s="15" t="s">
        <v>183</v>
      </c>
      <c r="K264" s="40" t="s">
        <v>476</v>
      </c>
      <c r="L264" s="46" t="s">
        <v>476</v>
      </c>
      <c r="M264" s="18" t="s">
        <v>276</v>
      </c>
      <c r="N264" s="31" t="s">
        <v>376</v>
      </c>
      <c r="O264" s="30" t="s">
        <v>375</v>
      </c>
      <c r="P264" s="39"/>
      <c r="Q264" s="39"/>
    </row>
    <row r="265" spans="1:17" s="3" customFormat="1" ht="30" x14ac:dyDescent="0.25">
      <c r="A265" s="4" t="s">
        <v>234</v>
      </c>
      <c r="B265" s="15">
        <f t="shared" si="16"/>
        <v>702</v>
      </c>
      <c r="C265" s="15" t="str">
        <f t="shared" si="17"/>
        <v>0x000002BE</v>
      </c>
      <c r="D265" s="15">
        <v>2</v>
      </c>
      <c r="E265" s="7" t="s">
        <v>675</v>
      </c>
      <c r="F265" s="15" t="s">
        <v>283</v>
      </c>
      <c r="G265" s="17" t="s">
        <v>0</v>
      </c>
      <c r="H265" s="15" t="s">
        <v>183</v>
      </c>
      <c r="I265" s="15" t="s">
        <v>183</v>
      </c>
      <c r="J265" s="15" t="s">
        <v>183</v>
      </c>
      <c r="K265" s="40" t="s">
        <v>476</v>
      </c>
      <c r="L265" s="46" t="s">
        <v>476</v>
      </c>
      <c r="M265" s="18" t="s">
        <v>276</v>
      </c>
      <c r="N265" s="31" t="s">
        <v>376</v>
      </c>
      <c r="O265" s="30" t="s">
        <v>375</v>
      </c>
      <c r="P265" s="39"/>
      <c r="Q265" s="39"/>
    </row>
    <row r="266" spans="1:17" s="3" customFormat="1" ht="30" x14ac:dyDescent="0.25">
      <c r="A266" s="4" t="s">
        <v>234</v>
      </c>
      <c r="B266" s="15">
        <f t="shared" si="16"/>
        <v>704</v>
      </c>
      <c r="C266" s="15" t="str">
        <f t="shared" si="17"/>
        <v>0x000002C0</v>
      </c>
      <c r="D266" s="15">
        <v>2</v>
      </c>
      <c r="E266" s="7" t="s">
        <v>676</v>
      </c>
      <c r="F266" s="15" t="s">
        <v>283</v>
      </c>
      <c r="G266" s="17" t="s">
        <v>0</v>
      </c>
      <c r="H266" s="15" t="s">
        <v>183</v>
      </c>
      <c r="I266" s="15" t="s">
        <v>183</v>
      </c>
      <c r="J266" s="15" t="s">
        <v>183</v>
      </c>
      <c r="K266" s="40" t="s">
        <v>476</v>
      </c>
      <c r="L266" s="46" t="s">
        <v>476</v>
      </c>
      <c r="M266" s="18" t="s">
        <v>276</v>
      </c>
      <c r="N266" s="31" t="s">
        <v>376</v>
      </c>
      <c r="O266" s="30" t="s">
        <v>375</v>
      </c>
      <c r="P266" s="39"/>
      <c r="Q266" s="39"/>
    </row>
    <row r="267" spans="1:17" s="3" customFormat="1" ht="30" x14ac:dyDescent="0.25">
      <c r="A267" s="4" t="s">
        <v>234</v>
      </c>
      <c r="B267" s="15">
        <f t="shared" si="16"/>
        <v>706</v>
      </c>
      <c r="C267" s="15" t="str">
        <f t="shared" si="17"/>
        <v>0x000002C2</v>
      </c>
      <c r="D267" s="15">
        <v>2</v>
      </c>
      <c r="E267" s="7" t="s">
        <v>677</v>
      </c>
      <c r="F267" s="15" t="s">
        <v>283</v>
      </c>
      <c r="G267" s="17" t="s">
        <v>0</v>
      </c>
      <c r="H267" s="15" t="s">
        <v>183</v>
      </c>
      <c r="I267" s="15" t="s">
        <v>183</v>
      </c>
      <c r="J267" s="15" t="s">
        <v>183</v>
      </c>
      <c r="K267" s="40" t="s">
        <v>476</v>
      </c>
      <c r="L267" s="46" t="s">
        <v>476</v>
      </c>
      <c r="M267" s="18" t="s">
        <v>276</v>
      </c>
      <c r="N267" s="31" t="s">
        <v>376</v>
      </c>
      <c r="O267" s="30" t="s">
        <v>375</v>
      </c>
      <c r="P267" s="39"/>
      <c r="Q267" s="39"/>
    </row>
    <row r="268" spans="1:17" s="3" customFormat="1" ht="30" x14ac:dyDescent="0.25">
      <c r="A268" s="4" t="s">
        <v>234</v>
      </c>
      <c r="B268" s="15">
        <f t="shared" si="16"/>
        <v>708</v>
      </c>
      <c r="C268" s="15" t="str">
        <f t="shared" si="17"/>
        <v>0x000002C4</v>
      </c>
      <c r="D268" s="15">
        <v>2</v>
      </c>
      <c r="E268" s="7" t="s">
        <v>678</v>
      </c>
      <c r="F268" s="15" t="s">
        <v>283</v>
      </c>
      <c r="G268" s="17" t="s">
        <v>0</v>
      </c>
      <c r="H268" s="15" t="s">
        <v>183</v>
      </c>
      <c r="I268" s="15" t="s">
        <v>183</v>
      </c>
      <c r="J268" s="15" t="s">
        <v>183</v>
      </c>
      <c r="K268" s="40" t="s">
        <v>476</v>
      </c>
      <c r="L268" s="46" t="s">
        <v>476</v>
      </c>
      <c r="M268" s="18" t="s">
        <v>276</v>
      </c>
      <c r="N268" s="31" t="s">
        <v>376</v>
      </c>
      <c r="O268" s="30" t="s">
        <v>375</v>
      </c>
      <c r="P268" s="39"/>
      <c r="Q268" s="39"/>
    </row>
    <row r="269" spans="1:17" s="3" customFormat="1" ht="30" x14ac:dyDescent="0.25">
      <c r="A269" s="4" t="s">
        <v>234</v>
      </c>
      <c r="B269" s="15">
        <f t="shared" si="16"/>
        <v>710</v>
      </c>
      <c r="C269" s="15" t="str">
        <f t="shared" si="17"/>
        <v>0x000002C6</v>
      </c>
      <c r="D269" s="15">
        <v>2</v>
      </c>
      <c r="E269" s="7" t="s">
        <v>679</v>
      </c>
      <c r="F269" s="15" t="s">
        <v>283</v>
      </c>
      <c r="G269" s="17" t="s">
        <v>0</v>
      </c>
      <c r="H269" s="15" t="s">
        <v>183</v>
      </c>
      <c r="I269" s="15" t="s">
        <v>183</v>
      </c>
      <c r="J269" s="15" t="s">
        <v>183</v>
      </c>
      <c r="K269" s="40" t="s">
        <v>476</v>
      </c>
      <c r="L269" s="46" t="s">
        <v>476</v>
      </c>
      <c r="M269" s="18" t="s">
        <v>276</v>
      </c>
      <c r="N269" s="31" t="s">
        <v>376</v>
      </c>
      <c r="O269" s="30" t="s">
        <v>375</v>
      </c>
      <c r="P269" s="39"/>
      <c r="Q269" s="39"/>
    </row>
    <row r="270" spans="1:17" s="3" customFormat="1" ht="30" x14ac:dyDescent="0.25">
      <c r="A270" s="4" t="s">
        <v>234</v>
      </c>
      <c r="B270" s="15">
        <f t="shared" si="16"/>
        <v>712</v>
      </c>
      <c r="C270" s="15" t="str">
        <f t="shared" si="17"/>
        <v>0x000002C8</v>
      </c>
      <c r="D270" s="15">
        <v>2</v>
      </c>
      <c r="E270" s="7" t="s">
        <v>680</v>
      </c>
      <c r="F270" s="15" t="s">
        <v>283</v>
      </c>
      <c r="G270" s="17" t="s">
        <v>0</v>
      </c>
      <c r="H270" s="15" t="s">
        <v>183</v>
      </c>
      <c r="I270" s="15" t="s">
        <v>183</v>
      </c>
      <c r="J270" s="15" t="s">
        <v>183</v>
      </c>
      <c r="K270" s="40" t="s">
        <v>476</v>
      </c>
      <c r="L270" s="46" t="s">
        <v>476</v>
      </c>
      <c r="M270" s="18" t="s">
        <v>276</v>
      </c>
      <c r="N270" s="31" t="s">
        <v>376</v>
      </c>
      <c r="O270" s="30" t="s">
        <v>375</v>
      </c>
      <c r="P270" s="39"/>
      <c r="Q270" s="39"/>
    </row>
    <row r="271" spans="1:17" s="3" customFormat="1" ht="30" x14ac:dyDescent="0.25">
      <c r="A271" s="4" t="s">
        <v>234</v>
      </c>
      <c r="B271" s="15">
        <f t="shared" si="16"/>
        <v>714</v>
      </c>
      <c r="C271" s="15" t="str">
        <f t="shared" si="17"/>
        <v>0x000002CA</v>
      </c>
      <c r="D271" s="15">
        <v>2</v>
      </c>
      <c r="E271" s="7" t="s">
        <v>681</v>
      </c>
      <c r="F271" s="15" t="s">
        <v>283</v>
      </c>
      <c r="G271" s="17" t="s">
        <v>0</v>
      </c>
      <c r="H271" s="15" t="s">
        <v>183</v>
      </c>
      <c r="I271" s="15" t="s">
        <v>183</v>
      </c>
      <c r="J271" s="15" t="s">
        <v>183</v>
      </c>
      <c r="K271" s="40" t="s">
        <v>476</v>
      </c>
      <c r="L271" s="46" t="s">
        <v>476</v>
      </c>
      <c r="M271" s="18" t="s">
        <v>276</v>
      </c>
      <c r="N271" s="31" t="s">
        <v>376</v>
      </c>
      <c r="O271" s="30" t="s">
        <v>375</v>
      </c>
      <c r="P271" s="39"/>
      <c r="Q271" s="39"/>
    </row>
    <row r="272" spans="1:17" s="3" customFormat="1" ht="30" x14ac:dyDescent="0.25">
      <c r="A272" s="4" t="s">
        <v>234</v>
      </c>
      <c r="B272" s="15">
        <f t="shared" si="16"/>
        <v>716</v>
      </c>
      <c r="C272" s="15" t="str">
        <f t="shared" si="17"/>
        <v>0x000002CC</v>
      </c>
      <c r="D272" s="15">
        <v>2</v>
      </c>
      <c r="E272" s="7" t="s">
        <v>682</v>
      </c>
      <c r="F272" s="15" t="s">
        <v>283</v>
      </c>
      <c r="G272" s="17" t="s">
        <v>0</v>
      </c>
      <c r="H272" s="15" t="s">
        <v>183</v>
      </c>
      <c r="I272" s="15" t="s">
        <v>183</v>
      </c>
      <c r="J272" s="15" t="s">
        <v>183</v>
      </c>
      <c r="K272" s="40" t="s">
        <v>476</v>
      </c>
      <c r="L272" s="46" t="s">
        <v>476</v>
      </c>
      <c r="M272" s="18" t="s">
        <v>276</v>
      </c>
      <c r="N272" s="31" t="s">
        <v>376</v>
      </c>
      <c r="O272" s="30" t="s">
        <v>375</v>
      </c>
      <c r="P272" s="39"/>
      <c r="Q272" s="39"/>
    </row>
    <row r="273" spans="1:17" s="3" customFormat="1" ht="30" x14ac:dyDescent="0.25">
      <c r="A273" s="4" t="s">
        <v>234</v>
      </c>
      <c r="B273" s="15">
        <f t="shared" si="16"/>
        <v>718</v>
      </c>
      <c r="C273" s="15" t="str">
        <f t="shared" si="17"/>
        <v>0x000002CE</v>
      </c>
      <c r="D273" s="15">
        <v>2</v>
      </c>
      <c r="E273" s="7" t="s">
        <v>683</v>
      </c>
      <c r="F273" s="15" t="s">
        <v>283</v>
      </c>
      <c r="G273" s="17" t="s">
        <v>0</v>
      </c>
      <c r="H273" s="15" t="s">
        <v>183</v>
      </c>
      <c r="I273" s="15" t="s">
        <v>183</v>
      </c>
      <c r="J273" s="15" t="s">
        <v>183</v>
      </c>
      <c r="K273" s="40" t="s">
        <v>476</v>
      </c>
      <c r="L273" s="46" t="s">
        <v>476</v>
      </c>
      <c r="M273" s="18" t="s">
        <v>276</v>
      </c>
      <c r="N273" s="31" t="s">
        <v>376</v>
      </c>
      <c r="O273" s="30" t="s">
        <v>375</v>
      </c>
      <c r="P273" s="39"/>
      <c r="Q273" s="39"/>
    </row>
    <row r="274" spans="1:17" s="3" customFormat="1" ht="30" x14ac:dyDescent="0.25">
      <c r="A274" s="4" t="s">
        <v>234</v>
      </c>
      <c r="B274" s="15">
        <f t="shared" si="16"/>
        <v>720</v>
      </c>
      <c r="C274" s="15" t="str">
        <f t="shared" si="17"/>
        <v>0x000002D0</v>
      </c>
      <c r="D274" s="15">
        <v>2</v>
      </c>
      <c r="E274" s="7" t="s">
        <v>684</v>
      </c>
      <c r="F274" s="15" t="s">
        <v>283</v>
      </c>
      <c r="G274" s="17" t="s">
        <v>0</v>
      </c>
      <c r="H274" s="15" t="s">
        <v>183</v>
      </c>
      <c r="I274" s="15" t="s">
        <v>183</v>
      </c>
      <c r="J274" s="15" t="s">
        <v>183</v>
      </c>
      <c r="K274" s="40" t="s">
        <v>476</v>
      </c>
      <c r="L274" s="46" t="s">
        <v>476</v>
      </c>
      <c r="M274" s="18" t="s">
        <v>276</v>
      </c>
      <c r="N274" s="31" t="s">
        <v>376</v>
      </c>
      <c r="O274" s="30" t="s">
        <v>375</v>
      </c>
      <c r="P274" s="39"/>
      <c r="Q274" s="39"/>
    </row>
    <row r="275" spans="1:17" s="3" customFormat="1" ht="30" x14ac:dyDescent="0.25">
      <c r="A275" s="4" t="s">
        <v>234</v>
      </c>
      <c r="B275" s="15">
        <f t="shared" si="16"/>
        <v>722</v>
      </c>
      <c r="C275" s="15" t="str">
        <f t="shared" ref="C275:C306" si="18">CONCATENATE("0x",DEC2HEX(B275,8))</f>
        <v>0x000002D2</v>
      </c>
      <c r="D275" s="15">
        <v>2</v>
      </c>
      <c r="E275" s="7" t="s">
        <v>685</v>
      </c>
      <c r="F275" s="15" t="s">
        <v>283</v>
      </c>
      <c r="G275" s="17" t="s">
        <v>0</v>
      </c>
      <c r="H275" s="15" t="s">
        <v>183</v>
      </c>
      <c r="I275" s="15" t="s">
        <v>183</v>
      </c>
      <c r="J275" s="15" t="s">
        <v>183</v>
      </c>
      <c r="K275" s="40" t="s">
        <v>476</v>
      </c>
      <c r="L275" s="46" t="s">
        <v>476</v>
      </c>
      <c r="M275" s="18" t="s">
        <v>276</v>
      </c>
      <c r="N275" s="31" t="s">
        <v>376</v>
      </c>
      <c r="O275" s="30" t="s">
        <v>375</v>
      </c>
      <c r="P275" s="39"/>
      <c r="Q275" s="39"/>
    </row>
    <row r="276" spans="1:17" s="3" customFormat="1" ht="30" x14ac:dyDescent="0.25">
      <c r="A276" s="4" t="s">
        <v>234</v>
      </c>
      <c r="B276" s="15">
        <f t="shared" ref="B276:B280" si="19">B275+D275</f>
        <v>724</v>
      </c>
      <c r="C276" s="15" t="str">
        <f t="shared" si="18"/>
        <v>0x000002D4</v>
      </c>
      <c r="D276" s="15">
        <v>2</v>
      </c>
      <c r="E276" s="7" t="s">
        <v>686</v>
      </c>
      <c r="F276" s="15" t="s">
        <v>283</v>
      </c>
      <c r="G276" s="17" t="s">
        <v>0</v>
      </c>
      <c r="H276" s="15" t="s">
        <v>183</v>
      </c>
      <c r="I276" s="15" t="s">
        <v>183</v>
      </c>
      <c r="J276" s="15" t="s">
        <v>183</v>
      </c>
      <c r="K276" s="40" t="s">
        <v>476</v>
      </c>
      <c r="L276" s="46" t="s">
        <v>476</v>
      </c>
      <c r="M276" s="18" t="s">
        <v>276</v>
      </c>
      <c r="N276" s="31" t="s">
        <v>376</v>
      </c>
      <c r="O276" s="30" t="s">
        <v>375</v>
      </c>
      <c r="P276" s="39"/>
      <c r="Q276" s="39"/>
    </row>
    <row r="277" spans="1:17" s="3" customFormat="1" ht="30" x14ac:dyDescent="0.25">
      <c r="A277" s="4" t="s">
        <v>234</v>
      </c>
      <c r="B277" s="15">
        <f t="shared" si="19"/>
        <v>726</v>
      </c>
      <c r="C277" s="15" t="str">
        <f t="shared" si="18"/>
        <v>0x000002D6</v>
      </c>
      <c r="D277" s="15">
        <v>2</v>
      </c>
      <c r="E277" s="7" t="s">
        <v>687</v>
      </c>
      <c r="F277" s="15" t="s">
        <v>283</v>
      </c>
      <c r="G277" s="17" t="s">
        <v>0</v>
      </c>
      <c r="H277" s="15" t="s">
        <v>183</v>
      </c>
      <c r="I277" s="15" t="s">
        <v>183</v>
      </c>
      <c r="J277" s="15" t="s">
        <v>183</v>
      </c>
      <c r="K277" s="40" t="s">
        <v>476</v>
      </c>
      <c r="L277" s="46" t="s">
        <v>476</v>
      </c>
      <c r="M277" s="18" t="s">
        <v>276</v>
      </c>
      <c r="N277" s="31" t="s">
        <v>376</v>
      </c>
      <c r="O277" s="30" t="s">
        <v>375</v>
      </c>
      <c r="P277" s="39"/>
      <c r="Q277" s="39"/>
    </row>
    <row r="278" spans="1:17" s="3" customFormat="1" ht="30" x14ac:dyDescent="0.25">
      <c r="A278" s="4" t="s">
        <v>234</v>
      </c>
      <c r="B278" s="15">
        <f t="shared" si="19"/>
        <v>728</v>
      </c>
      <c r="C278" s="15" t="str">
        <f t="shared" si="18"/>
        <v>0x000002D8</v>
      </c>
      <c r="D278" s="15">
        <v>2</v>
      </c>
      <c r="E278" s="7" t="s">
        <v>688</v>
      </c>
      <c r="F278" s="15" t="s">
        <v>283</v>
      </c>
      <c r="G278" s="17" t="s">
        <v>0</v>
      </c>
      <c r="H278" s="15" t="s">
        <v>183</v>
      </c>
      <c r="I278" s="15" t="s">
        <v>183</v>
      </c>
      <c r="J278" s="15" t="s">
        <v>183</v>
      </c>
      <c r="K278" s="40" t="s">
        <v>476</v>
      </c>
      <c r="L278" s="46" t="s">
        <v>476</v>
      </c>
      <c r="M278" s="18" t="s">
        <v>276</v>
      </c>
      <c r="N278" s="31" t="s">
        <v>376</v>
      </c>
      <c r="O278" s="30" t="s">
        <v>375</v>
      </c>
      <c r="P278" s="39"/>
      <c r="Q278" s="39"/>
    </row>
    <row r="279" spans="1:17" s="3" customFormat="1" ht="30" x14ac:dyDescent="0.25">
      <c r="A279" s="4" t="s">
        <v>234</v>
      </c>
      <c r="B279" s="15">
        <f t="shared" si="19"/>
        <v>730</v>
      </c>
      <c r="C279" s="15" t="str">
        <f t="shared" si="18"/>
        <v>0x000002DA</v>
      </c>
      <c r="D279" s="15">
        <v>2</v>
      </c>
      <c r="E279" s="7" t="s">
        <v>689</v>
      </c>
      <c r="F279" s="15" t="s">
        <v>283</v>
      </c>
      <c r="G279" s="17" t="s">
        <v>0</v>
      </c>
      <c r="H279" s="15" t="s">
        <v>183</v>
      </c>
      <c r="I279" s="15" t="s">
        <v>183</v>
      </c>
      <c r="J279" s="15" t="s">
        <v>183</v>
      </c>
      <c r="K279" s="40" t="s">
        <v>476</v>
      </c>
      <c r="L279" s="46" t="s">
        <v>476</v>
      </c>
      <c r="M279" s="18" t="s">
        <v>276</v>
      </c>
      <c r="N279" s="31" t="s">
        <v>376</v>
      </c>
      <c r="O279" s="30" t="s">
        <v>375</v>
      </c>
      <c r="P279" s="39"/>
      <c r="Q279" s="39"/>
    </row>
    <row r="280" spans="1:17" s="3" customFormat="1" ht="30" x14ac:dyDescent="0.25">
      <c r="A280" s="4" t="s">
        <v>234</v>
      </c>
      <c r="B280" s="15">
        <f t="shared" si="19"/>
        <v>732</v>
      </c>
      <c r="C280" s="15" t="str">
        <f t="shared" si="18"/>
        <v>0x000002DC</v>
      </c>
      <c r="D280" s="15">
        <v>2</v>
      </c>
      <c r="E280" s="7" t="s">
        <v>690</v>
      </c>
      <c r="F280" s="15" t="s">
        <v>283</v>
      </c>
      <c r="G280" s="17" t="s">
        <v>0</v>
      </c>
      <c r="H280" s="15" t="s">
        <v>183</v>
      </c>
      <c r="I280" s="15" t="s">
        <v>183</v>
      </c>
      <c r="J280" s="15" t="s">
        <v>183</v>
      </c>
      <c r="K280" s="40" t="s">
        <v>476</v>
      </c>
      <c r="L280" s="46" t="s">
        <v>476</v>
      </c>
      <c r="M280" s="18" t="s">
        <v>276</v>
      </c>
      <c r="N280" s="31" t="s">
        <v>376</v>
      </c>
      <c r="O280" s="30" t="s">
        <v>375</v>
      </c>
      <c r="P280" s="39"/>
      <c r="Q280" s="39"/>
    </row>
    <row r="281" spans="1:17" s="3" customFormat="1" ht="30" x14ac:dyDescent="0.25">
      <c r="A281" s="4" t="s">
        <v>234</v>
      </c>
      <c r="B281" s="15">
        <f>B280+D280</f>
        <v>734</v>
      </c>
      <c r="C281" s="15" t="str">
        <f t="shared" si="18"/>
        <v>0x000002DE</v>
      </c>
      <c r="D281" s="15">
        <v>2</v>
      </c>
      <c r="E281" s="7" t="s">
        <v>691</v>
      </c>
      <c r="F281" s="15" t="s">
        <v>283</v>
      </c>
      <c r="G281" s="17" t="s">
        <v>0</v>
      </c>
      <c r="H281" s="15" t="s">
        <v>183</v>
      </c>
      <c r="I281" s="15" t="s">
        <v>183</v>
      </c>
      <c r="J281" s="15" t="s">
        <v>183</v>
      </c>
      <c r="K281" s="40" t="s">
        <v>476</v>
      </c>
      <c r="L281" s="46" t="s">
        <v>476</v>
      </c>
      <c r="M281" s="18" t="s">
        <v>276</v>
      </c>
      <c r="N281" s="31" t="s">
        <v>376</v>
      </c>
      <c r="O281" s="30" t="s">
        <v>375</v>
      </c>
      <c r="P281" s="39"/>
      <c r="Q281" s="39"/>
    </row>
    <row r="282" spans="1:17" s="3" customFormat="1" ht="30" x14ac:dyDescent="0.25">
      <c r="A282" s="4" t="s">
        <v>234</v>
      </c>
      <c r="B282" s="15">
        <f t="shared" ref="B282:B338" si="20">B281+D281</f>
        <v>736</v>
      </c>
      <c r="C282" s="15" t="str">
        <f t="shared" si="18"/>
        <v>0x000002E0</v>
      </c>
      <c r="D282" s="15">
        <v>2</v>
      </c>
      <c r="E282" s="7" t="s">
        <v>692</v>
      </c>
      <c r="F282" s="15" t="s">
        <v>283</v>
      </c>
      <c r="G282" s="17" t="s">
        <v>0</v>
      </c>
      <c r="H282" s="15" t="s">
        <v>183</v>
      </c>
      <c r="I282" s="15" t="s">
        <v>183</v>
      </c>
      <c r="J282" s="15" t="s">
        <v>183</v>
      </c>
      <c r="K282" s="40" t="s">
        <v>476</v>
      </c>
      <c r="L282" s="46" t="s">
        <v>476</v>
      </c>
      <c r="M282" s="18" t="s">
        <v>276</v>
      </c>
      <c r="N282" s="31" t="s">
        <v>376</v>
      </c>
      <c r="O282" s="30" t="s">
        <v>375</v>
      </c>
      <c r="P282" s="39"/>
      <c r="Q282" s="39"/>
    </row>
    <row r="283" spans="1:17" s="3" customFormat="1" ht="30" x14ac:dyDescent="0.25">
      <c r="A283" s="4" t="s">
        <v>234</v>
      </c>
      <c r="B283" s="15">
        <f t="shared" si="20"/>
        <v>738</v>
      </c>
      <c r="C283" s="15" t="str">
        <f t="shared" si="18"/>
        <v>0x000002E2</v>
      </c>
      <c r="D283" s="15">
        <v>2</v>
      </c>
      <c r="E283" s="7" t="s">
        <v>693</v>
      </c>
      <c r="F283" s="15" t="s">
        <v>283</v>
      </c>
      <c r="G283" s="17" t="s">
        <v>0</v>
      </c>
      <c r="H283" s="15" t="s">
        <v>183</v>
      </c>
      <c r="I283" s="15" t="s">
        <v>183</v>
      </c>
      <c r="J283" s="15" t="s">
        <v>183</v>
      </c>
      <c r="K283" s="40" t="s">
        <v>476</v>
      </c>
      <c r="L283" s="46" t="s">
        <v>476</v>
      </c>
      <c r="M283" s="18" t="s">
        <v>276</v>
      </c>
      <c r="N283" s="31" t="s">
        <v>376</v>
      </c>
      <c r="O283" s="30" t="s">
        <v>375</v>
      </c>
      <c r="P283" s="39"/>
      <c r="Q283" s="39"/>
    </row>
    <row r="284" spans="1:17" s="3" customFormat="1" ht="30" x14ac:dyDescent="0.25">
      <c r="A284" s="4" t="s">
        <v>234</v>
      </c>
      <c r="B284" s="15">
        <f t="shared" si="20"/>
        <v>740</v>
      </c>
      <c r="C284" s="15" t="str">
        <f t="shared" si="18"/>
        <v>0x000002E4</v>
      </c>
      <c r="D284" s="15">
        <v>2</v>
      </c>
      <c r="E284" s="7" t="s">
        <v>694</v>
      </c>
      <c r="F284" s="15" t="s">
        <v>283</v>
      </c>
      <c r="G284" s="17" t="s">
        <v>0</v>
      </c>
      <c r="H284" s="15" t="s">
        <v>183</v>
      </c>
      <c r="I284" s="15" t="s">
        <v>183</v>
      </c>
      <c r="J284" s="15" t="s">
        <v>183</v>
      </c>
      <c r="K284" s="40" t="s">
        <v>476</v>
      </c>
      <c r="L284" s="46" t="s">
        <v>476</v>
      </c>
      <c r="M284" s="18" t="s">
        <v>276</v>
      </c>
      <c r="N284" s="31" t="s">
        <v>376</v>
      </c>
      <c r="O284" s="30" t="s">
        <v>375</v>
      </c>
      <c r="P284" s="39"/>
      <c r="Q284" s="39"/>
    </row>
    <row r="285" spans="1:17" s="3" customFormat="1" ht="30" x14ac:dyDescent="0.25">
      <c r="A285" s="4" t="s">
        <v>234</v>
      </c>
      <c r="B285" s="15">
        <f t="shared" si="20"/>
        <v>742</v>
      </c>
      <c r="C285" s="15" t="str">
        <f t="shared" si="18"/>
        <v>0x000002E6</v>
      </c>
      <c r="D285" s="15">
        <v>2</v>
      </c>
      <c r="E285" s="7" t="s">
        <v>695</v>
      </c>
      <c r="F285" s="15" t="s">
        <v>283</v>
      </c>
      <c r="G285" s="17" t="s">
        <v>0</v>
      </c>
      <c r="H285" s="15" t="s">
        <v>183</v>
      </c>
      <c r="I285" s="15" t="s">
        <v>183</v>
      </c>
      <c r="J285" s="15" t="s">
        <v>183</v>
      </c>
      <c r="K285" s="40" t="s">
        <v>476</v>
      </c>
      <c r="L285" s="46" t="s">
        <v>476</v>
      </c>
      <c r="M285" s="18" t="s">
        <v>276</v>
      </c>
      <c r="N285" s="31" t="s">
        <v>376</v>
      </c>
      <c r="O285" s="30" t="s">
        <v>375</v>
      </c>
      <c r="P285" s="39"/>
      <c r="Q285" s="39"/>
    </row>
    <row r="286" spans="1:17" s="3" customFormat="1" ht="30" x14ac:dyDescent="0.25">
      <c r="A286" s="4" t="s">
        <v>234</v>
      </c>
      <c r="B286" s="15">
        <f t="shared" si="20"/>
        <v>744</v>
      </c>
      <c r="C286" s="15" t="str">
        <f t="shared" si="18"/>
        <v>0x000002E8</v>
      </c>
      <c r="D286" s="15">
        <v>2</v>
      </c>
      <c r="E286" s="7" t="s">
        <v>696</v>
      </c>
      <c r="F286" s="15" t="s">
        <v>283</v>
      </c>
      <c r="G286" s="17" t="s">
        <v>0</v>
      </c>
      <c r="H286" s="15" t="s">
        <v>183</v>
      </c>
      <c r="I286" s="15" t="s">
        <v>183</v>
      </c>
      <c r="J286" s="15" t="s">
        <v>183</v>
      </c>
      <c r="K286" s="40" t="s">
        <v>476</v>
      </c>
      <c r="L286" s="46" t="s">
        <v>476</v>
      </c>
      <c r="M286" s="18" t="s">
        <v>276</v>
      </c>
      <c r="N286" s="31" t="s">
        <v>376</v>
      </c>
      <c r="O286" s="30" t="s">
        <v>375</v>
      </c>
      <c r="P286" s="39"/>
      <c r="Q286" s="39"/>
    </row>
    <row r="287" spans="1:17" s="3" customFormat="1" ht="30" x14ac:dyDescent="0.25">
      <c r="A287" s="4" t="s">
        <v>234</v>
      </c>
      <c r="B287" s="15">
        <f t="shared" si="20"/>
        <v>746</v>
      </c>
      <c r="C287" s="15" t="str">
        <f t="shared" si="18"/>
        <v>0x000002EA</v>
      </c>
      <c r="D287" s="15">
        <v>2</v>
      </c>
      <c r="E287" s="7" t="s">
        <v>697</v>
      </c>
      <c r="F287" s="15" t="s">
        <v>283</v>
      </c>
      <c r="G287" s="17" t="s">
        <v>0</v>
      </c>
      <c r="H287" s="15" t="s">
        <v>183</v>
      </c>
      <c r="I287" s="15" t="s">
        <v>183</v>
      </c>
      <c r="J287" s="15" t="s">
        <v>183</v>
      </c>
      <c r="K287" s="40" t="s">
        <v>476</v>
      </c>
      <c r="L287" s="46" t="s">
        <v>476</v>
      </c>
      <c r="M287" s="18" t="s">
        <v>276</v>
      </c>
      <c r="N287" s="31" t="s">
        <v>376</v>
      </c>
      <c r="O287" s="30" t="s">
        <v>375</v>
      </c>
      <c r="P287" s="39"/>
      <c r="Q287" s="39"/>
    </row>
    <row r="288" spans="1:17" s="3" customFormat="1" ht="30" x14ac:dyDescent="0.25">
      <c r="A288" s="4" t="s">
        <v>234</v>
      </c>
      <c r="B288" s="15">
        <f t="shared" si="20"/>
        <v>748</v>
      </c>
      <c r="C288" s="15" t="str">
        <f t="shared" si="18"/>
        <v>0x000002EC</v>
      </c>
      <c r="D288" s="15">
        <v>2</v>
      </c>
      <c r="E288" s="7" t="s">
        <v>698</v>
      </c>
      <c r="F288" s="15" t="s">
        <v>283</v>
      </c>
      <c r="G288" s="17" t="s">
        <v>0</v>
      </c>
      <c r="H288" s="15" t="s">
        <v>183</v>
      </c>
      <c r="I288" s="15" t="s">
        <v>183</v>
      </c>
      <c r="J288" s="15" t="s">
        <v>183</v>
      </c>
      <c r="K288" s="40" t="s">
        <v>476</v>
      </c>
      <c r="L288" s="46" t="s">
        <v>476</v>
      </c>
      <c r="M288" s="18" t="s">
        <v>276</v>
      </c>
      <c r="N288" s="31" t="s">
        <v>376</v>
      </c>
      <c r="O288" s="30" t="s">
        <v>375</v>
      </c>
      <c r="P288" s="39"/>
      <c r="Q288" s="39"/>
    </row>
    <row r="289" spans="1:17" s="3" customFormat="1" ht="30" x14ac:dyDescent="0.25">
      <c r="A289" s="4" t="s">
        <v>234</v>
      </c>
      <c r="B289" s="15">
        <f t="shared" si="20"/>
        <v>750</v>
      </c>
      <c r="C289" s="15" t="str">
        <f t="shared" si="18"/>
        <v>0x000002EE</v>
      </c>
      <c r="D289" s="15">
        <v>2</v>
      </c>
      <c r="E289" s="7" t="s">
        <v>699</v>
      </c>
      <c r="F289" s="15" t="s">
        <v>283</v>
      </c>
      <c r="G289" s="17" t="s">
        <v>0</v>
      </c>
      <c r="H289" s="15" t="s">
        <v>183</v>
      </c>
      <c r="I289" s="15" t="s">
        <v>183</v>
      </c>
      <c r="J289" s="15" t="s">
        <v>183</v>
      </c>
      <c r="K289" s="40" t="s">
        <v>476</v>
      </c>
      <c r="L289" s="46" t="s">
        <v>476</v>
      </c>
      <c r="M289" s="18" t="s">
        <v>276</v>
      </c>
      <c r="N289" s="31" t="s">
        <v>376</v>
      </c>
      <c r="O289" s="30" t="s">
        <v>375</v>
      </c>
      <c r="P289" s="39"/>
      <c r="Q289" s="39"/>
    </row>
    <row r="290" spans="1:17" s="3" customFormat="1" ht="30" x14ac:dyDescent="0.25">
      <c r="A290" s="4" t="s">
        <v>234</v>
      </c>
      <c r="B290" s="15">
        <f t="shared" si="20"/>
        <v>752</v>
      </c>
      <c r="C290" s="15" t="str">
        <f t="shared" si="18"/>
        <v>0x000002F0</v>
      </c>
      <c r="D290" s="15">
        <v>2</v>
      </c>
      <c r="E290" s="7" t="s">
        <v>700</v>
      </c>
      <c r="F290" s="15" t="s">
        <v>283</v>
      </c>
      <c r="G290" s="17" t="s">
        <v>0</v>
      </c>
      <c r="H290" s="15" t="s">
        <v>183</v>
      </c>
      <c r="I290" s="15" t="s">
        <v>183</v>
      </c>
      <c r="J290" s="15" t="s">
        <v>183</v>
      </c>
      <c r="K290" s="40" t="s">
        <v>476</v>
      </c>
      <c r="L290" s="46" t="s">
        <v>476</v>
      </c>
      <c r="M290" s="18" t="s">
        <v>276</v>
      </c>
      <c r="N290" s="31" t="s">
        <v>376</v>
      </c>
      <c r="O290" s="30" t="s">
        <v>375</v>
      </c>
      <c r="P290" s="39"/>
      <c r="Q290" s="39"/>
    </row>
    <row r="291" spans="1:17" s="3" customFormat="1" ht="30" x14ac:dyDescent="0.25">
      <c r="A291" s="4" t="s">
        <v>234</v>
      </c>
      <c r="B291" s="15">
        <f t="shared" si="20"/>
        <v>754</v>
      </c>
      <c r="C291" s="15" t="str">
        <f t="shared" si="18"/>
        <v>0x000002F2</v>
      </c>
      <c r="D291" s="15">
        <v>2</v>
      </c>
      <c r="E291" s="7" t="s">
        <v>701</v>
      </c>
      <c r="F291" s="15" t="s">
        <v>283</v>
      </c>
      <c r="G291" s="17" t="s">
        <v>0</v>
      </c>
      <c r="H291" s="15" t="s">
        <v>183</v>
      </c>
      <c r="I291" s="15" t="s">
        <v>183</v>
      </c>
      <c r="J291" s="15" t="s">
        <v>183</v>
      </c>
      <c r="K291" s="40" t="s">
        <v>476</v>
      </c>
      <c r="L291" s="46" t="s">
        <v>476</v>
      </c>
      <c r="M291" s="18" t="s">
        <v>276</v>
      </c>
      <c r="N291" s="31" t="s">
        <v>376</v>
      </c>
      <c r="O291" s="30" t="s">
        <v>375</v>
      </c>
      <c r="P291" s="39"/>
      <c r="Q291" s="39"/>
    </row>
    <row r="292" spans="1:17" s="3" customFormat="1" ht="30" x14ac:dyDescent="0.25">
      <c r="A292" s="4" t="s">
        <v>234</v>
      </c>
      <c r="B292" s="15">
        <f t="shared" si="20"/>
        <v>756</v>
      </c>
      <c r="C292" s="15" t="str">
        <f t="shared" si="18"/>
        <v>0x000002F4</v>
      </c>
      <c r="D292" s="15">
        <v>2</v>
      </c>
      <c r="E292" s="7" t="s">
        <v>702</v>
      </c>
      <c r="F292" s="15" t="s">
        <v>283</v>
      </c>
      <c r="G292" s="17" t="s">
        <v>0</v>
      </c>
      <c r="H292" s="15" t="s">
        <v>183</v>
      </c>
      <c r="I292" s="15" t="s">
        <v>183</v>
      </c>
      <c r="J292" s="15" t="s">
        <v>183</v>
      </c>
      <c r="K292" s="40" t="s">
        <v>476</v>
      </c>
      <c r="L292" s="46" t="s">
        <v>476</v>
      </c>
      <c r="M292" s="18" t="s">
        <v>276</v>
      </c>
      <c r="N292" s="31" t="s">
        <v>376</v>
      </c>
      <c r="O292" s="30" t="s">
        <v>375</v>
      </c>
      <c r="P292" s="39"/>
      <c r="Q292" s="39"/>
    </row>
    <row r="293" spans="1:17" s="3" customFormat="1" ht="30" x14ac:dyDescent="0.25">
      <c r="A293" s="4" t="s">
        <v>234</v>
      </c>
      <c r="B293" s="15">
        <f t="shared" si="20"/>
        <v>758</v>
      </c>
      <c r="C293" s="15" t="str">
        <f t="shared" si="18"/>
        <v>0x000002F6</v>
      </c>
      <c r="D293" s="15">
        <v>2</v>
      </c>
      <c r="E293" s="7" t="s">
        <v>703</v>
      </c>
      <c r="F293" s="15" t="s">
        <v>283</v>
      </c>
      <c r="G293" s="17" t="s">
        <v>0</v>
      </c>
      <c r="H293" s="15" t="s">
        <v>183</v>
      </c>
      <c r="I293" s="15" t="s">
        <v>183</v>
      </c>
      <c r="J293" s="15" t="s">
        <v>183</v>
      </c>
      <c r="K293" s="40" t="s">
        <v>476</v>
      </c>
      <c r="L293" s="46" t="s">
        <v>476</v>
      </c>
      <c r="M293" s="18" t="s">
        <v>276</v>
      </c>
      <c r="N293" s="31" t="s">
        <v>376</v>
      </c>
      <c r="O293" s="30" t="s">
        <v>375</v>
      </c>
      <c r="P293" s="39"/>
      <c r="Q293" s="39"/>
    </row>
    <row r="294" spans="1:17" s="3" customFormat="1" ht="30" x14ac:dyDescent="0.25">
      <c r="A294" s="4" t="s">
        <v>234</v>
      </c>
      <c r="B294" s="15">
        <f t="shared" si="20"/>
        <v>760</v>
      </c>
      <c r="C294" s="15" t="str">
        <f t="shared" si="18"/>
        <v>0x000002F8</v>
      </c>
      <c r="D294" s="15">
        <v>2</v>
      </c>
      <c r="E294" s="7" t="s">
        <v>704</v>
      </c>
      <c r="F294" s="15" t="s">
        <v>283</v>
      </c>
      <c r="G294" s="17" t="s">
        <v>0</v>
      </c>
      <c r="H294" s="15" t="s">
        <v>183</v>
      </c>
      <c r="I294" s="15" t="s">
        <v>183</v>
      </c>
      <c r="J294" s="15" t="s">
        <v>183</v>
      </c>
      <c r="K294" s="40" t="s">
        <v>476</v>
      </c>
      <c r="L294" s="46" t="s">
        <v>476</v>
      </c>
      <c r="M294" s="18" t="s">
        <v>276</v>
      </c>
      <c r="N294" s="31" t="s">
        <v>376</v>
      </c>
      <c r="O294" s="30" t="s">
        <v>375</v>
      </c>
      <c r="P294" s="39"/>
      <c r="Q294" s="39"/>
    </row>
    <row r="295" spans="1:17" s="3" customFormat="1" ht="30" x14ac:dyDescent="0.25">
      <c r="A295" s="4" t="s">
        <v>234</v>
      </c>
      <c r="B295" s="15">
        <f t="shared" si="20"/>
        <v>762</v>
      </c>
      <c r="C295" s="15" t="str">
        <f t="shared" si="18"/>
        <v>0x000002FA</v>
      </c>
      <c r="D295" s="15">
        <v>2</v>
      </c>
      <c r="E295" s="7" t="s">
        <v>705</v>
      </c>
      <c r="F295" s="15" t="s">
        <v>283</v>
      </c>
      <c r="G295" s="17" t="s">
        <v>0</v>
      </c>
      <c r="H295" s="15" t="s">
        <v>183</v>
      </c>
      <c r="I295" s="15" t="s">
        <v>183</v>
      </c>
      <c r="J295" s="15" t="s">
        <v>183</v>
      </c>
      <c r="K295" s="40" t="s">
        <v>476</v>
      </c>
      <c r="L295" s="46" t="s">
        <v>476</v>
      </c>
      <c r="M295" s="18" t="s">
        <v>276</v>
      </c>
      <c r="N295" s="31" t="s">
        <v>376</v>
      </c>
      <c r="O295" s="30" t="s">
        <v>375</v>
      </c>
      <c r="P295" s="39"/>
      <c r="Q295" s="39"/>
    </row>
    <row r="296" spans="1:17" s="3" customFormat="1" ht="30" x14ac:dyDescent="0.25">
      <c r="A296" s="4" t="s">
        <v>234</v>
      </c>
      <c r="B296" s="15">
        <f t="shared" si="20"/>
        <v>764</v>
      </c>
      <c r="C296" s="15" t="str">
        <f t="shared" si="18"/>
        <v>0x000002FC</v>
      </c>
      <c r="D296" s="15">
        <v>2</v>
      </c>
      <c r="E296" s="7" t="s">
        <v>706</v>
      </c>
      <c r="F296" s="15" t="s">
        <v>283</v>
      </c>
      <c r="G296" s="17" t="s">
        <v>0</v>
      </c>
      <c r="H296" s="15" t="s">
        <v>183</v>
      </c>
      <c r="I296" s="15" t="s">
        <v>183</v>
      </c>
      <c r="J296" s="15" t="s">
        <v>183</v>
      </c>
      <c r="K296" s="40" t="s">
        <v>476</v>
      </c>
      <c r="L296" s="46" t="s">
        <v>476</v>
      </c>
      <c r="M296" s="18" t="s">
        <v>276</v>
      </c>
      <c r="N296" s="31" t="s">
        <v>376</v>
      </c>
      <c r="O296" s="30" t="s">
        <v>375</v>
      </c>
      <c r="P296" s="39"/>
      <c r="Q296" s="39"/>
    </row>
    <row r="297" spans="1:17" s="3" customFormat="1" ht="30" x14ac:dyDescent="0.25">
      <c r="A297" s="4" t="s">
        <v>234</v>
      </c>
      <c r="B297" s="15">
        <f t="shared" si="20"/>
        <v>766</v>
      </c>
      <c r="C297" s="15" t="str">
        <f t="shared" si="18"/>
        <v>0x000002FE</v>
      </c>
      <c r="D297" s="15">
        <v>2</v>
      </c>
      <c r="E297" s="7" t="s">
        <v>707</v>
      </c>
      <c r="F297" s="15" t="s">
        <v>283</v>
      </c>
      <c r="G297" s="17" t="s">
        <v>0</v>
      </c>
      <c r="H297" s="15" t="s">
        <v>183</v>
      </c>
      <c r="I297" s="15" t="s">
        <v>183</v>
      </c>
      <c r="J297" s="15" t="s">
        <v>183</v>
      </c>
      <c r="K297" s="40" t="s">
        <v>476</v>
      </c>
      <c r="L297" s="46" t="s">
        <v>476</v>
      </c>
      <c r="M297" s="18" t="s">
        <v>276</v>
      </c>
      <c r="N297" s="31" t="s">
        <v>376</v>
      </c>
      <c r="O297" s="30" t="s">
        <v>375</v>
      </c>
      <c r="P297" s="39"/>
      <c r="Q297" s="39"/>
    </row>
    <row r="298" spans="1:17" s="3" customFormat="1" ht="30" x14ac:dyDescent="0.25">
      <c r="A298" s="4" t="s">
        <v>234</v>
      </c>
      <c r="B298" s="15">
        <f t="shared" si="20"/>
        <v>768</v>
      </c>
      <c r="C298" s="15" t="str">
        <f t="shared" si="18"/>
        <v>0x00000300</v>
      </c>
      <c r="D298" s="15">
        <v>2</v>
      </c>
      <c r="E298" s="7" t="s">
        <v>708</v>
      </c>
      <c r="F298" s="15" t="s">
        <v>283</v>
      </c>
      <c r="G298" s="17" t="s">
        <v>0</v>
      </c>
      <c r="H298" s="15" t="s">
        <v>183</v>
      </c>
      <c r="I298" s="15" t="s">
        <v>183</v>
      </c>
      <c r="J298" s="15" t="s">
        <v>183</v>
      </c>
      <c r="K298" s="40" t="s">
        <v>476</v>
      </c>
      <c r="L298" s="46" t="s">
        <v>476</v>
      </c>
      <c r="M298" s="18" t="s">
        <v>276</v>
      </c>
      <c r="N298" s="31" t="s">
        <v>376</v>
      </c>
      <c r="O298" s="30" t="s">
        <v>375</v>
      </c>
      <c r="P298" s="39"/>
      <c r="Q298" s="39"/>
    </row>
    <row r="299" spans="1:17" s="3" customFormat="1" ht="30" x14ac:dyDescent="0.25">
      <c r="A299" s="4" t="s">
        <v>234</v>
      </c>
      <c r="B299" s="15">
        <f t="shared" si="20"/>
        <v>770</v>
      </c>
      <c r="C299" s="15" t="str">
        <f t="shared" si="18"/>
        <v>0x00000302</v>
      </c>
      <c r="D299" s="15">
        <v>2</v>
      </c>
      <c r="E299" s="7" t="s">
        <v>709</v>
      </c>
      <c r="F299" s="15" t="s">
        <v>283</v>
      </c>
      <c r="G299" s="17" t="s">
        <v>0</v>
      </c>
      <c r="H299" s="15" t="s">
        <v>183</v>
      </c>
      <c r="I299" s="15" t="s">
        <v>183</v>
      </c>
      <c r="J299" s="15" t="s">
        <v>183</v>
      </c>
      <c r="K299" s="40" t="s">
        <v>476</v>
      </c>
      <c r="L299" s="46" t="s">
        <v>476</v>
      </c>
      <c r="M299" s="18" t="s">
        <v>276</v>
      </c>
      <c r="N299" s="31" t="s">
        <v>376</v>
      </c>
      <c r="O299" s="30" t="s">
        <v>375</v>
      </c>
      <c r="P299" s="39"/>
      <c r="Q299" s="39"/>
    </row>
    <row r="300" spans="1:17" s="3" customFormat="1" ht="30" x14ac:dyDescent="0.25">
      <c r="A300" s="4" t="s">
        <v>234</v>
      </c>
      <c r="B300" s="15">
        <f t="shared" si="20"/>
        <v>772</v>
      </c>
      <c r="C300" s="15" t="str">
        <f t="shared" si="18"/>
        <v>0x00000304</v>
      </c>
      <c r="D300" s="15">
        <v>2</v>
      </c>
      <c r="E300" s="7" t="s">
        <v>710</v>
      </c>
      <c r="F300" s="15" t="s">
        <v>283</v>
      </c>
      <c r="G300" s="17" t="s">
        <v>0</v>
      </c>
      <c r="H300" s="15" t="s">
        <v>183</v>
      </c>
      <c r="I300" s="15" t="s">
        <v>183</v>
      </c>
      <c r="J300" s="15" t="s">
        <v>183</v>
      </c>
      <c r="K300" s="40" t="s">
        <v>476</v>
      </c>
      <c r="L300" s="46" t="s">
        <v>476</v>
      </c>
      <c r="M300" s="18" t="s">
        <v>276</v>
      </c>
      <c r="N300" s="31" t="s">
        <v>376</v>
      </c>
      <c r="O300" s="30" t="s">
        <v>375</v>
      </c>
      <c r="P300" s="39"/>
      <c r="Q300" s="39"/>
    </row>
    <row r="301" spans="1:17" s="3" customFormat="1" ht="30" x14ac:dyDescent="0.25">
      <c r="A301" s="4" t="s">
        <v>234</v>
      </c>
      <c r="B301" s="15">
        <f t="shared" si="20"/>
        <v>774</v>
      </c>
      <c r="C301" s="15" t="str">
        <f t="shared" si="18"/>
        <v>0x00000306</v>
      </c>
      <c r="D301" s="15">
        <v>2</v>
      </c>
      <c r="E301" s="7" t="s">
        <v>711</v>
      </c>
      <c r="F301" s="15" t="s">
        <v>283</v>
      </c>
      <c r="G301" s="17" t="s">
        <v>0</v>
      </c>
      <c r="H301" s="15" t="s">
        <v>183</v>
      </c>
      <c r="I301" s="15" t="s">
        <v>183</v>
      </c>
      <c r="J301" s="15" t="s">
        <v>183</v>
      </c>
      <c r="K301" s="40" t="s">
        <v>476</v>
      </c>
      <c r="L301" s="46" t="s">
        <v>476</v>
      </c>
      <c r="M301" s="18" t="s">
        <v>276</v>
      </c>
      <c r="N301" s="31" t="s">
        <v>376</v>
      </c>
      <c r="O301" s="30" t="s">
        <v>375</v>
      </c>
      <c r="P301" s="39"/>
      <c r="Q301" s="39"/>
    </row>
    <row r="302" spans="1:17" s="3" customFormat="1" ht="30" x14ac:dyDescent="0.25">
      <c r="A302" s="4" t="s">
        <v>234</v>
      </c>
      <c r="B302" s="15">
        <f t="shared" si="20"/>
        <v>776</v>
      </c>
      <c r="C302" s="15" t="str">
        <f t="shared" si="18"/>
        <v>0x00000308</v>
      </c>
      <c r="D302" s="15">
        <v>2</v>
      </c>
      <c r="E302" s="7" t="s">
        <v>712</v>
      </c>
      <c r="F302" s="15" t="s">
        <v>283</v>
      </c>
      <c r="G302" s="17" t="s">
        <v>0</v>
      </c>
      <c r="H302" s="15" t="s">
        <v>183</v>
      </c>
      <c r="I302" s="15" t="s">
        <v>183</v>
      </c>
      <c r="J302" s="15" t="s">
        <v>183</v>
      </c>
      <c r="K302" s="40" t="s">
        <v>476</v>
      </c>
      <c r="L302" s="46" t="s">
        <v>476</v>
      </c>
      <c r="M302" s="18" t="s">
        <v>276</v>
      </c>
      <c r="N302" s="31" t="s">
        <v>376</v>
      </c>
      <c r="O302" s="30" t="s">
        <v>375</v>
      </c>
      <c r="P302" s="39"/>
      <c r="Q302" s="39"/>
    </row>
    <row r="303" spans="1:17" s="3" customFormat="1" ht="30" x14ac:dyDescent="0.25">
      <c r="A303" s="4" t="s">
        <v>234</v>
      </c>
      <c r="B303" s="15">
        <f t="shared" si="20"/>
        <v>778</v>
      </c>
      <c r="C303" s="15" t="str">
        <f t="shared" si="18"/>
        <v>0x0000030A</v>
      </c>
      <c r="D303" s="15">
        <v>2</v>
      </c>
      <c r="E303" s="7" t="s">
        <v>713</v>
      </c>
      <c r="F303" s="15" t="s">
        <v>283</v>
      </c>
      <c r="G303" s="17" t="s">
        <v>0</v>
      </c>
      <c r="H303" s="15" t="s">
        <v>183</v>
      </c>
      <c r="I303" s="15" t="s">
        <v>183</v>
      </c>
      <c r="J303" s="15" t="s">
        <v>183</v>
      </c>
      <c r="K303" s="40" t="s">
        <v>476</v>
      </c>
      <c r="L303" s="46" t="s">
        <v>476</v>
      </c>
      <c r="M303" s="18" t="s">
        <v>276</v>
      </c>
      <c r="N303" s="31" t="s">
        <v>376</v>
      </c>
      <c r="O303" s="30" t="s">
        <v>375</v>
      </c>
      <c r="P303" s="39"/>
      <c r="Q303" s="39"/>
    </row>
    <row r="304" spans="1:17" s="3" customFormat="1" ht="30" x14ac:dyDescent="0.25">
      <c r="A304" s="4" t="s">
        <v>234</v>
      </c>
      <c r="B304" s="15">
        <f t="shared" si="20"/>
        <v>780</v>
      </c>
      <c r="C304" s="15" t="str">
        <f t="shared" si="18"/>
        <v>0x0000030C</v>
      </c>
      <c r="D304" s="15">
        <v>2</v>
      </c>
      <c r="E304" s="7" t="s">
        <v>714</v>
      </c>
      <c r="F304" s="15" t="s">
        <v>283</v>
      </c>
      <c r="G304" s="17" t="s">
        <v>0</v>
      </c>
      <c r="H304" s="15" t="s">
        <v>183</v>
      </c>
      <c r="I304" s="15" t="s">
        <v>183</v>
      </c>
      <c r="J304" s="15" t="s">
        <v>183</v>
      </c>
      <c r="K304" s="40" t="s">
        <v>476</v>
      </c>
      <c r="L304" s="46" t="s">
        <v>476</v>
      </c>
      <c r="M304" s="18" t="s">
        <v>276</v>
      </c>
      <c r="N304" s="31" t="s">
        <v>376</v>
      </c>
      <c r="O304" s="30" t="s">
        <v>375</v>
      </c>
      <c r="P304" s="39"/>
      <c r="Q304" s="39"/>
    </row>
    <row r="305" spans="1:17" s="3" customFormat="1" ht="30" x14ac:dyDescent="0.25">
      <c r="A305" s="4" t="s">
        <v>234</v>
      </c>
      <c r="B305" s="15">
        <f t="shared" si="20"/>
        <v>782</v>
      </c>
      <c r="C305" s="15" t="str">
        <f t="shared" si="18"/>
        <v>0x0000030E</v>
      </c>
      <c r="D305" s="15">
        <v>2</v>
      </c>
      <c r="E305" s="7" t="s">
        <v>715</v>
      </c>
      <c r="F305" s="15" t="s">
        <v>283</v>
      </c>
      <c r="G305" s="17" t="s">
        <v>0</v>
      </c>
      <c r="H305" s="15" t="s">
        <v>183</v>
      </c>
      <c r="I305" s="15" t="s">
        <v>183</v>
      </c>
      <c r="J305" s="15" t="s">
        <v>183</v>
      </c>
      <c r="K305" s="40" t="s">
        <v>476</v>
      </c>
      <c r="L305" s="46" t="s">
        <v>476</v>
      </c>
      <c r="M305" s="18" t="s">
        <v>276</v>
      </c>
      <c r="N305" s="31" t="s">
        <v>376</v>
      </c>
      <c r="O305" s="30" t="s">
        <v>375</v>
      </c>
      <c r="P305" s="39"/>
      <c r="Q305" s="39"/>
    </row>
    <row r="306" spans="1:17" s="3" customFormat="1" ht="30" x14ac:dyDescent="0.25">
      <c r="A306" s="4" t="s">
        <v>234</v>
      </c>
      <c r="B306" s="15">
        <f t="shared" si="20"/>
        <v>784</v>
      </c>
      <c r="C306" s="15" t="str">
        <f t="shared" si="18"/>
        <v>0x00000310</v>
      </c>
      <c r="D306" s="15">
        <v>2</v>
      </c>
      <c r="E306" s="7" t="s">
        <v>716</v>
      </c>
      <c r="F306" s="15" t="s">
        <v>283</v>
      </c>
      <c r="G306" s="17" t="s">
        <v>0</v>
      </c>
      <c r="H306" s="15" t="s">
        <v>183</v>
      </c>
      <c r="I306" s="15" t="s">
        <v>183</v>
      </c>
      <c r="J306" s="15" t="s">
        <v>183</v>
      </c>
      <c r="K306" s="40" t="s">
        <v>476</v>
      </c>
      <c r="L306" s="46" t="s">
        <v>476</v>
      </c>
      <c r="M306" s="18" t="s">
        <v>276</v>
      </c>
      <c r="N306" s="31" t="s">
        <v>376</v>
      </c>
      <c r="O306" s="30" t="s">
        <v>375</v>
      </c>
      <c r="P306" s="39"/>
      <c r="Q306" s="39"/>
    </row>
    <row r="307" spans="1:17" s="3" customFormat="1" ht="30" x14ac:dyDescent="0.25">
      <c r="A307" s="4" t="s">
        <v>234</v>
      </c>
      <c r="B307" s="15">
        <f t="shared" si="20"/>
        <v>786</v>
      </c>
      <c r="C307" s="15" t="str">
        <f t="shared" ref="C307:C337" si="21">CONCATENATE("0x",DEC2HEX(B307,8))</f>
        <v>0x00000312</v>
      </c>
      <c r="D307" s="15">
        <v>2</v>
      </c>
      <c r="E307" s="7" t="s">
        <v>717</v>
      </c>
      <c r="F307" s="15" t="s">
        <v>283</v>
      </c>
      <c r="G307" s="17" t="s">
        <v>0</v>
      </c>
      <c r="H307" s="15" t="s">
        <v>183</v>
      </c>
      <c r="I307" s="15" t="s">
        <v>183</v>
      </c>
      <c r="J307" s="15" t="s">
        <v>183</v>
      </c>
      <c r="K307" s="40" t="s">
        <v>476</v>
      </c>
      <c r="L307" s="46" t="s">
        <v>476</v>
      </c>
      <c r="M307" s="18" t="s">
        <v>276</v>
      </c>
      <c r="N307" s="31" t="s">
        <v>376</v>
      </c>
      <c r="O307" s="30" t="s">
        <v>375</v>
      </c>
      <c r="P307" s="39"/>
      <c r="Q307" s="39"/>
    </row>
    <row r="308" spans="1:17" s="3" customFormat="1" ht="30" x14ac:dyDescent="0.25">
      <c r="A308" s="4" t="s">
        <v>234</v>
      </c>
      <c r="B308" s="15">
        <f t="shared" si="20"/>
        <v>788</v>
      </c>
      <c r="C308" s="15" t="str">
        <f t="shared" si="21"/>
        <v>0x00000314</v>
      </c>
      <c r="D308" s="15">
        <v>2</v>
      </c>
      <c r="E308" s="7" t="s">
        <v>718</v>
      </c>
      <c r="F308" s="15" t="s">
        <v>283</v>
      </c>
      <c r="G308" s="17" t="s">
        <v>0</v>
      </c>
      <c r="H308" s="15" t="s">
        <v>183</v>
      </c>
      <c r="I308" s="15" t="s">
        <v>183</v>
      </c>
      <c r="J308" s="15" t="s">
        <v>183</v>
      </c>
      <c r="K308" s="40" t="s">
        <v>476</v>
      </c>
      <c r="L308" s="46" t="s">
        <v>476</v>
      </c>
      <c r="M308" s="18" t="s">
        <v>276</v>
      </c>
      <c r="N308" s="31" t="s">
        <v>376</v>
      </c>
      <c r="O308" s="30" t="s">
        <v>375</v>
      </c>
      <c r="P308" s="39"/>
      <c r="Q308" s="39"/>
    </row>
    <row r="309" spans="1:17" s="3" customFormat="1" ht="30" x14ac:dyDescent="0.25">
      <c r="A309" s="4" t="s">
        <v>234</v>
      </c>
      <c r="B309" s="15">
        <f t="shared" si="20"/>
        <v>790</v>
      </c>
      <c r="C309" s="15" t="str">
        <f t="shared" si="21"/>
        <v>0x00000316</v>
      </c>
      <c r="D309" s="15">
        <v>2</v>
      </c>
      <c r="E309" s="7" t="s">
        <v>719</v>
      </c>
      <c r="F309" s="15" t="s">
        <v>283</v>
      </c>
      <c r="G309" s="17" t="s">
        <v>0</v>
      </c>
      <c r="H309" s="15" t="s">
        <v>183</v>
      </c>
      <c r="I309" s="15" t="s">
        <v>183</v>
      </c>
      <c r="J309" s="15" t="s">
        <v>183</v>
      </c>
      <c r="K309" s="40" t="s">
        <v>476</v>
      </c>
      <c r="L309" s="46" t="s">
        <v>476</v>
      </c>
      <c r="M309" s="18" t="s">
        <v>276</v>
      </c>
      <c r="N309" s="31" t="s">
        <v>376</v>
      </c>
      <c r="O309" s="30" t="s">
        <v>375</v>
      </c>
      <c r="P309" s="39"/>
      <c r="Q309" s="39"/>
    </row>
    <row r="310" spans="1:17" s="3" customFormat="1" ht="30" x14ac:dyDescent="0.25">
      <c r="A310" s="4" t="s">
        <v>234</v>
      </c>
      <c r="B310" s="15">
        <f t="shared" si="20"/>
        <v>792</v>
      </c>
      <c r="C310" s="15" t="str">
        <f t="shared" si="21"/>
        <v>0x00000318</v>
      </c>
      <c r="D310" s="15">
        <v>2</v>
      </c>
      <c r="E310" s="7" t="s">
        <v>720</v>
      </c>
      <c r="F310" s="15" t="s">
        <v>283</v>
      </c>
      <c r="G310" s="17" t="s">
        <v>0</v>
      </c>
      <c r="H310" s="15" t="s">
        <v>183</v>
      </c>
      <c r="I310" s="15" t="s">
        <v>183</v>
      </c>
      <c r="J310" s="15" t="s">
        <v>183</v>
      </c>
      <c r="K310" s="40" t="s">
        <v>476</v>
      </c>
      <c r="L310" s="46" t="s">
        <v>476</v>
      </c>
      <c r="M310" s="18" t="s">
        <v>276</v>
      </c>
      <c r="N310" s="31" t="s">
        <v>376</v>
      </c>
      <c r="O310" s="30" t="s">
        <v>375</v>
      </c>
      <c r="P310" s="39"/>
      <c r="Q310" s="39"/>
    </row>
    <row r="311" spans="1:17" s="3" customFormat="1" ht="30" x14ac:dyDescent="0.25">
      <c r="A311" s="4" t="s">
        <v>234</v>
      </c>
      <c r="B311" s="15">
        <f t="shared" si="20"/>
        <v>794</v>
      </c>
      <c r="C311" s="15" t="str">
        <f t="shared" si="21"/>
        <v>0x0000031A</v>
      </c>
      <c r="D311" s="15">
        <v>2</v>
      </c>
      <c r="E311" s="7" t="s">
        <v>721</v>
      </c>
      <c r="F311" s="15" t="s">
        <v>283</v>
      </c>
      <c r="G311" s="17" t="s">
        <v>0</v>
      </c>
      <c r="H311" s="15" t="s">
        <v>183</v>
      </c>
      <c r="I311" s="15" t="s">
        <v>183</v>
      </c>
      <c r="J311" s="15" t="s">
        <v>183</v>
      </c>
      <c r="K311" s="40" t="s">
        <v>476</v>
      </c>
      <c r="L311" s="46" t="s">
        <v>476</v>
      </c>
      <c r="M311" s="18" t="s">
        <v>276</v>
      </c>
      <c r="N311" s="31" t="s">
        <v>376</v>
      </c>
      <c r="O311" s="30" t="s">
        <v>375</v>
      </c>
      <c r="P311" s="39"/>
      <c r="Q311" s="39"/>
    </row>
    <row r="312" spans="1:17" s="3" customFormat="1" ht="30" x14ac:dyDescent="0.25">
      <c r="A312" s="4" t="s">
        <v>234</v>
      </c>
      <c r="B312" s="15">
        <f t="shared" si="20"/>
        <v>796</v>
      </c>
      <c r="C312" s="15" t="str">
        <f t="shared" si="21"/>
        <v>0x0000031C</v>
      </c>
      <c r="D312" s="15">
        <v>2</v>
      </c>
      <c r="E312" s="7" t="s">
        <v>722</v>
      </c>
      <c r="F312" s="15" t="s">
        <v>283</v>
      </c>
      <c r="G312" s="17" t="s">
        <v>0</v>
      </c>
      <c r="H312" s="15" t="s">
        <v>183</v>
      </c>
      <c r="I312" s="15" t="s">
        <v>183</v>
      </c>
      <c r="J312" s="15" t="s">
        <v>183</v>
      </c>
      <c r="K312" s="40" t="s">
        <v>476</v>
      </c>
      <c r="L312" s="46" t="s">
        <v>476</v>
      </c>
      <c r="M312" s="18" t="s">
        <v>276</v>
      </c>
      <c r="N312" s="31" t="s">
        <v>376</v>
      </c>
      <c r="O312" s="30" t="s">
        <v>375</v>
      </c>
      <c r="P312" s="39"/>
      <c r="Q312" s="39"/>
    </row>
    <row r="313" spans="1:17" s="3" customFormat="1" ht="30" x14ac:dyDescent="0.25">
      <c r="A313" s="4" t="s">
        <v>234</v>
      </c>
      <c r="B313" s="15">
        <f t="shared" si="20"/>
        <v>798</v>
      </c>
      <c r="C313" s="15" t="str">
        <f t="shared" si="21"/>
        <v>0x0000031E</v>
      </c>
      <c r="D313" s="15">
        <v>2</v>
      </c>
      <c r="E313" s="7" t="s">
        <v>723</v>
      </c>
      <c r="F313" s="15" t="s">
        <v>283</v>
      </c>
      <c r="G313" s="17" t="s">
        <v>0</v>
      </c>
      <c r="H313" s="15" t="s">
        <v>183</v>
      </c>
      <c r="I313" s="15" t="s">
        <v>183</v>
      </c>
      <c r="J313" s="15" t="s">
        <v>183</v>
      </c>
      <c r="K313" s="40" t="s">
        <v>476</v>
      </c>
      <c r="L313" s="46" t="s">
        <v>476</v>
      </c>
      <c r="M313" s="18" t="s">
        <v>276</v>
      </c>
      <c r="N313" s="31" t="s">
        <v>376</v>
      </c>
      <c r="O313" s="30" t="s">
        <v>375</v>
      </c>
      <c r="P313" s="39"/>
      <c r="Q313" s="39"/>
    </row>
    <row r="314" spans="1:17" s="3" customFormat="1" ht="30" x14ac:dyDescent="0.25">
      <c r="A314" s="4" t="s">
        <v>234</v>
      </c>
      <c r="B314" s="15">
        <f t="shared" si="20"/>
        <v>800</v>
      </c>
      <c r="C314" s="15" t="str">
        <f t="shared" si="21"/>
        <v>0x00000320</v>
      </c>
      <c r="D314" s="15">
        <v>2</v>
      </c>
      <c r="E314" s="7" t="s">
        <v>724</v>
      </c>
      <c r="F314" s="15" t="s">
        <v>283</v>
      </c>
      <c r="G314" s="17" t="s">
        <v>0</v>
      </c>
      <c r="H314" s="15" t="s">
        <v>183</v>
      </c>
      <c r="I314" s="15" t="s">
        <v>183</v>
      </c>
      <c r="J314" s="15" t="s">
        <v>183</v>
      </c>
      <c r="K314" s="40" t="s">
        <v>476</v>
      </c>
      <c r="L314" s="46" t="s">
        <v>476</v>
      </c>
      <c r="M314" s="18" t="s">
        <v>276</v>
      </c>
      <c r="N314" s="31" t="s">
        <v>376</v>
      </c>
      <c r="O314" s="30" t="s">
        <v>375</v>
      </c>
      <c r="P314" s="39"/>
      <c r="Q314" s="39"/>
    </row>
    <row r="315" spans="1:17" s="3" customFormat="1" ht="30" x14ac:dyDescent="0.25">
      <c r="A315" s="4" t="s">
        <v>234</v>
      </c>
      <c r="B315" s="15">
        <f t="shared" si="20"/>
        <v>802</v>
      </c>
      <c r="C315" s="15" t="str">
        <f t="shared" si="21"/>
        <v>0x00000322</v>
      </c>
      <c r="D315" s="15">
        <v>2</v>
      </c>
      <c r="E315" s="7" t="s">
        <v>725</v>
      </c>
      <c r="F315" s="15" t="s">
        <v>283</v>
      </c>
      <c r="G315" s="17" t="s">
        <v>0</v>
      </c>
      <c r="H315" s="15" t="s">
        <v>183</v>
      </c>
      <c r="I315" s="15" t="s">
        <v>183</v>
      </c>
      <c r="J315" s="15" t="s">
        <v>183</v>
      </c>
      <c r="K315" s="40" t="s">
        <v>476</v>
      </c>
      <c r="L315" s="46" t="s">
        <v>476</v>
      </c>
      <c r="M315" s="18" t="s">
        <v>276</v>
      </c>
      <c r="N315" s="31" t="s">
        <v>376</v>
      </c>
      <c r="O315" s="30" t="s">
        <v>375</v>
      </c>
      <c r="P315" s="39"/>
      <c r="Q315" s="39"/>
    </row>
    <row r="316" spans="1:17" s="3" customFormat="1" ht="30" x14ac:dyDescent="0.25">
      <c r="A316" s="4" t="s">
        <v>234</v>
      </c>
      <c r="B316" s="15">
        <f t="shared" si="20"/>
        <v>804</v>
      </c>
      <c r="C316" s="15" t="str">
        <f t="shared" si="21"/>
        <v>0x00000324</v>
      </c>
      <c r="D316" s="15">
        <v>2</v>
      </c>
      <c r="E316" s="7" t="s">
        <v>726</v>
      </c>
      <c r="F316" s="15" t="s">
        <v>283</v>
      </c>
      <c r="G316" s="17" t="s">
        <v>0</v>
      </c>
      <c r="H316" s="15" t="s">
        <v>183</v>
      </c>
      <c r="I316" s="15" t="s">
        <v>183</v>
      </c>
      <c r="J316" s="15" t="s">
        <v>183</v>
      </c>
      <c r="K316" s="40" t="s">
        <v>476</v>
      </c>
      <c r="L316" s="46" t="s">
        <v>476</v>
      </c>
      <c r="M316" s="18" t="s">
        <v>276</v>
      </c>
      <c r="N316" s="31" t="s">
        <v>376</v>
      </c>
      <c r="O316" s="30" t="s">
        <v>375</v>
      </c>
      <c r="P316" s="39"/>
      <c r="Q316" s="39"/>
    </row>
    <row r="317" spans="1:17" s="3" customFormat="1" ht="30" x14ac:dyDescent="0.25">
      <c r="A317" s="4" t="s">
        <v>234</v>
      </c>
      <c r="B317" s="15">
        <f t="shared" si="20"/>
        <v>806</v>
      </c>
      <c r="C317" s="15" t="str">
        <f t="shared" si="21"/>
        <v>0x00000326</v>
      </c>
      <c r="D317" s="15">
        <v>2</v>
      </c>
      <c r="E317" s="7" t="s">
        <v>727</v>
      </c>
      <c r="F317" s="15" t="s">
        <v>283</v>
      </c>
      <c r="G317" s="17" t="s">
        <v>0</v>
      </c>
      <c r="H317" s="15" t="s">
        <v>183</v>
      </c>
      <c r="I317" s="15" t="s">
        <v>183</v>
      </c>
      <c r="J317" s="15" t="s">
        <v>183</v>
      </c>
      <c r="K317" s="40" t="s">
        <v>476</v>
      </c>
      <c r="L317" s="46" t="s">
        <v>476</v>
      </c>
      <c r="M317" s="18" t="s">
        <v>276</v>
      </c>
      <c r="N317" s="31" t="s">
        <v>376</v>
      </c>
      <c r="O317" s="30" t="s">
        <v>375</v>
      </c>
      <c r="P317" s="39"/>
      <c r="Q317" s="39"/>
    </row>
    <row r="318" spans="1:17" s="3" customFormat="1" ht="30" x14ac:dyDescent="0.25">
      <c r="A318" s="4" t="s">
        <v>234</v>
      </c>
      <c r="B318" s="15">
        <f t="shared" si="20"/>
        <v>808</v>
      </c>
      <c r="C318" s="15" t="str">
        <f t="shared" si="21"/>
        <v>0x00000328</v>
      </c>
      <c r="D318" s="15">
        <v>2</v>
      </c>
      <c r="E318" s="7" t="s">
        <v>728</v>
      </c>
      <c r="F318" s="15" t="s">
        <v>283</v>
      </c>
      <c r="G318" s="17" t="s">
        <v>0</v>
      </c>
      <c r="H318" s="15" t="s">
        <v>183</v>
      </c>
      <c r="I318" s="15" t="s">
        <v>183</v>
      </c>
      <c r="J318" s="15" t="s">
        <v>183</v>
      </c>
      <c r="K318" s="40" t="s">
        <v>476</v>
      </c>
      <c r="L318" s="46" t="s">
        <v>476</v>
      </c>
      <c r="M318" s="18" t="s">
        <v>276</v>
      </c>
      <c r="N318" s="31" t="s">
        <v>376</v>
      </c>
      <c r="O318" s="30" t="s">
        <v>375</v>
      </c>
      <c r="P318" s="39"/>
      <c r="Q318" s="39"/>
    </row>
    <row r="319" spans="1:17" s="3" customFormat="1" ht="30" x14ac:dyDescent="0.25">
      <c r="A319" s="4" t="s">
        <v>234</v>
      </c>
      <c r="B319" s="15">
        <f t="shared" si="20"/>
        <v>810</v>
      </c>
      <c r="C319" s="15" t="str">
        <f t="shared" si="21"/>
        <v>0x0000032A</v>
      </c>
      <c r="D319" s="15">
        <v>2</v>
      </c>
      <c r="E319" s="7" t="s">
        <v>729</v>
      </c>
      <c r="F319" s="15" t="s">
        <v>283</v>
      </c>
      <c r="G319" s="17" t="s">
        <v>0</v>
      </c>
      <c r="H319" s="15" t="s">
        <v>183</v>
      </c>
      <c r="I319" s="15" t="s">
        <v>183</v>
      </c>
      <c r="J319" s="15" t="s">
        <v>183</v>
      </c>
      <c r="K319" s="40" t="s">
        <v>476</v>
      </c>
      <c r="L319" s="46" t="s">
        <v>476</v>
      </c>
      <c r="M319" s="18" t="s">
        <v>276</v>
      </c>
      <c r="N319" s="31" t="s">
        <v>376</v>
      </c>
      <c r="O319" s="30" t="s">
        <v>375</v>
      </c>
      <c r="P319" s="39"/>
      <c r="Q319" s="39"/>
    </row>
    <row r="320" spans="1:17" s="3" customFormat="1" ht="30" x14ac:dyDescent="0.25">
      <c r="A320" s="4" t="s">
        <v>234</v>
      </c>
      <c r="B320" s="15">
        <f t="shared" si="20"/>
        <v>812</v>
      </c>
      <c r="C320" s="15" t="str">
        <f t="shared" si="21"/>
        <v>0x0000032C</v>
      </c>
      <c r="D320" s="15">
        <v>2</v>
      </c>
      <c r="E320" s="7" t="s">
        <v>730</v>
      </c>
      <c r="F320" s="15" t="s">
        <v>283</v>
      </c>
      <c r="G320" s="17" t="s">
        <v>0</v>
      </c>
      <c r="H320" s="15" t="s">
        <v>183</v>
      </c>
      <c r="I320" s="15" t="s">
        <v>183</v>
      </c>
      <c r="J320" s="15" t="s">
        <v>183</v>
      </c>
      <c r="K320" s="40" t="s">
        <v>476</v>
      </c>
      <c r="L320" s="46" t="s">
        <v>476</v>
      </c>
      <c r="M320" s="18" t="s">
        <v>276</v>
      </c>
      <c r="N320" s="31" t="s">
        <v>376</v>
      </c>
      <c r="O320" s="30" t="s">
        <v>375</v>
      </c>
      <c r="P320" s="39"/>
      <c r="Q320" s="39"/>
    </row>
    <row r="321" spans="1:17" s="3" customFormat="1" ht="30" x14ac:dyDescent="0.25">
      <c r="A321" s="4" t="s">
        <v>234</v>
      </c>
      <c r="B321" s="15">
        <f t="shared" si="20"/>
        <v>814</v>
      </c>
      <c r="C321" s="15" t="str">
        <f t="shared" si="21"/>
        <v>0x0000032E</v>
      </c>
      <c r="D321" s="15">
        <v>2</v>
      </c>
      <c r="E321" s="7" t="s">
        <v>731</v>
      </c>
      <c r="F321" s="15" t="s">
        <v>283</v>
      </c>
      <c r="G321" s="17" t="s">
        <v>0</v>
      </c>
      <c r="H321" s="15" t="s">
        <v>183</v>
      </c>
      <c r="I321" s="15" t="s">
        <v>183</v>
      </c>
      <c r="J321" s="15" t="s">
        <v>183</v>
      </c>
      <c r="K321" s="40" t="s">
        <v>476</v>
      </c>
      <c r="L321" s="46" t="s">
        <v>476</v>
      </c>
      <c r="M321" s="18" t="s">
        <v>276</v>
      </c>
      <c r="N321" s="31" t="s">
        <v>376</v>
      </c>
      <c r="O321" s="30" t="s">
        <v>375</v>
      </c>
      <c r="P321" s="39"/>
      <c r="Q321" s="39"/>
    </row>
    <row r="322" spans="1:17" s="3" customFormat="1" ht="30" x14ac:dyDescent="0.25">
      <c r="A322" s="4" t="s">
        <v>234</v>
      </c>
      <c r="B322" s="15">
        <f t="shared" si="20"/>
        <v>816</v>
      </c>
      <c r="C322" s="15" t="str">
        <f t="shared" si="21"/>
        <v>0x00000330</v>
      </c>
      <c r="D322" s="15">
        <v>2</v>
      </c>
      <c r="E322" s="7" t="s">
        <v>732</v>
      </c>
      <c r="F322" s="15" t="s">
        <v>283</v>
      </c>
      <c r="G322" s="17" t="s">
        <v>0</v>
      </c>
      <c r="H322" s="15" t="s">
        <v>183</v>
      </c>
      <c r="I322" s="15" t="s">
        <v>183</v>
      </c>
      <c r="J322" s="15" t="s">
        <v>183</v>
      </c>
      <c r="K322" s="40" t="s">
        <v>476</v>
      </c>
      <c r="L322" s="46" t="s">
        <v>476</v>
      </c>
      <c r="M322" s="18" t="s">
        <v>276</v>
      </c>
      <c r="N322" s="31" t="s">
        <v>376</v>
      </c>
      <c r="O322" s="30" t="s">
        <v>375</v>
      </c>
      <c r="P322" s="39"/>
      <c r="Q322" s="39"/>
    </row>
    <row r="323" spans="1:17" s="3" customFormat="1" ht="30" x14ac:dyDescent="0.25">
      <c r="A323" s="4" t="s">
        <v>234</v>
      </c>
      <c r="B323" s="15">
        <f t="shared" si="20"/>
        <v>818</v>
      </c>
      <c r="C323" s="15" t="str">
        <f t="shared" si="21"/>
        <v>0x00000332</v>
      </c>
      <c r="D323" s="15">
        <v>2</v>
      </c>
      <c r="E323" s="7" t="s">
        <v>733</v>
      </c>
      <c r="F323" s="15" t="s">
        <v>283</v>
      </c>
      <c r="G323" s="17" t="s">
        <v>0</v>
      </c>
      <c r="H323" s="15" t="s">
        <v>183</v>
      </c>
      <c r="I323" s="15" t="s">
        <v>183</v>
      </c>
      <c r="J323" s="15" t="s">
        <v>183</v>
      </c>
      <c r="K323" s="40" t="s">
        <v>476</v>
      </c>
      <c r="L323" s="46" t="s">
        <v>476</v>
      </c>
      <c r="M323" s="18" t="s">
        <v>276</v>
      </c>
      <c r="N323" s="31" t="s">
        <v>376</v>
      </c>
      <c r="O323" s="30" t="s">
        <v>375</v>
      </c>
      <c r="P323" s="39"/>
      <c r="Q323" s="39"/>
    </row>
    <row r="324" spans="1:17" s="3" customFormat="1" ht="30" x14ac:dyDescent="0.25">
      <c r="A324" s="4" t="s">
        <v>234</v>
      </c>
      <c r="B324" s="15">
        <f t="shared" si="20"/>
        <v>820</v>
      </c>
      <c r="C324" s="15" t="str">
        <f t="shared" si="21"/>
        <v>0x00000334</v>
      </c>
      <c r="D324" s="15">
        <v>2</v>
      </c>
      <c r="E324" s="7" t="s">
        <v>734</v>
      </c>
      <c r="F324" s="15" t="s">
        <v>283</v>
      </c>
      <c r="G324" s="17" t="s">
        <v>0</v>
      </c>
      <c r="H324" s="15" t="s">
        <v>183</v>
      </c>
      <c r="I324" s="15" t="s">
        <v>183</v>
      </c>
      <c r="J324" s="15" t="s">
        <v>183</v>
      </c>
      <c r="K324" s="40" t="s">
        <v>476</v>
      </c>
      <c r="L324" s="46" t="s">
        <v>476</v>
      </c>
      <c r="M324" s="18" t="s">
        <v>276</v>
      </c>
      <c r="N324" s="31" t="s">
        <v>376</v>
      </c>
      <c r="O324" s="30" t="s">
        <v>375</v>
      </c>
      <c r="P324" s="39"/>
      <c r="Q324" s="39"/>
    </row>
    <row r="325" spans="1:17" s="3" customFormat="1" ht="30" x14ac:dyDescent="0.25">
      <c r="A325" s="4" t="s">
        <v>234</v>
      </c>
      <c r="B325" s="15">
        <f t="shared" si="20"/>
        <v>822</v>
      </c>
      <c r="C325" s="15" t="str">
        <f t="shared" si="21"/>
        <v>0x00000336</v>
      </c>
      <c r="D325" s="15">
        <v>2</v>
      </c>
      <c r="E325" s="7" t="s">
        <v>735</v>
      </c>
      <c r="F325" s="15" t="s">
        <v>283</v>
      </c>
      <c r="G325" s="17" t="s">
        <v>0</v>
      </c>
      <c r="H325" s="15" t="s">
        <v>183</v>
      </c>
      <c r="I325" s="15" t="s">
        <v>183</v>
      </c>
      <c r="J325" s="15" t="s">
        <v>183</v>
      </c>
      <c r="K325" s="40" t="s">
        <v>476</v>
      </c>
      <c r="L325" s="46" t="s">
        <v>476</v>
      </c>
      <c r="M325" s="18" t="s">
        <v>276</v>
      </c>
      <c r="N325" s="31" t="s">
        <v>376</v>
      </c>
      <c r="O325" s="30" t="s">
        <v>375</v>
      </c>
      <c r="P325" s="39"/>
      <c r="Q325" s="39"/>
    </row>
    <row r="326" spans="1:17" s="3" customFormat="1" ht="30" x14ac:dyDescent="0.25">
      <c r="A326" s="4" t="s">
        <v>234</v>
      </c>
      <c r="B326" s="15">
        <f t="shared" si="20"/>
        <v>824</v>
      </c>
      <c r="C326" s="15" t="str">
        <f t="shared" si="21"/>
        <v>0x00000338</v>
      </c>
      <c r="D326" s="15">
        <v>2</v>
      </c>
      <c r="E326" s="7" t="s">
        <v>736</v>
      </c>
      <c r="F326" s="15" t="s">
        <v>283</v>
      </c>
      <c r="G326" s="17" t="s">
        <v>0</v>
      </c>
      <c r="H326" s="15" t="s">
        <v>183</v>
      </c>
      <c r="I326" s="15" t="s">
        <v>183</v>
      </c>
      <c r="J326" s="15" t="s">
        <v>183</v>
      </c>
      <c r="K326" s="40" t="s">
        <v>476</v>
      </c>
      <c r="L326" s="46" t="s">
        <v>476</v>
      </c>
      <c r="M326" s="18" t="s">
        <v>276</v>
      </c>
      <c r="N326" s="31" t="s">
        <v>376</v>
      </c>
      <c r="O326" s="30" t="s">
        <v>375</v>
      </c>
      <c r="P326" s="39"/>
      <c r="Q326" s="39"/>
    </row>
    <row r="327" spans="1:17" s="3" customFormat="1" ht="30" x14ac:dyDescent="0.25">
      <c r="A327" s="4" t="s">
        <v>234</v>
      </c>
      <c r="B327" s="15">
        <f t="shared" si="20"/>
        <v>826</v>
      </c>
      <c r="C327" s="15" t="str">
        <f t="shared" si="21"/>
        <v>0x0000033A</v>
      </c>
      <c r="D327" s="15">
        <v>2</v>
      </c>
      <c r="E327" s="7" t="s">
        <v>737</v>
      </c>
      <c r="F327" s="15" t="s">
        <v>283</v>
      </c>
      <c r="G327" s="17" t="s">
        <v>0</v>
      </c>
      <c r="H327" s="15" t="s">
        <v>183</v>
      </c>
      <c r="I327" s="15" t="s">
        <v>183</v>
      </c>
      <c r="J327" s="15" t="s">
        <v>183</v>
      </c>
      <c r="K327" s="40" t="s">
        <v>476</v>
      </c>
      <c r="L327" s="46" t="s">
        <v>476</v>
      </c>
      <c r="M327" s="18" t="s">
        <v>276</v>
      </c>
      <c r="N327" s="31" t="s">
        <v>376</v>
      </c>
      <c r="O327" s="30" t="s">
        <v>375</v>
      </c>
      <c r="P327" s="39"/>
      <c r="Q327" s="39"/>
    </row>
    <row r="328" spans="1:17" s="3" customFormat="1" ht="30" x14ac:dyDescent="0.25">
      <c r="A328" s="4" t="s">
        <v>234</v>
      </c>
      <c r="B328" s="15">
        <f t="shared" si="20"/>
        <v>828</v>
      </c>
      <c r="C328" s="15" t="str">
        <f t="shared" si="21"/>
        <v>0x0000033C</v>
      </c>
      <c r="D328" s="15">
        <v>2</v>
      </c>
      <c r="E328" s="7" t="s">
        <v>738</v>
      </c>
      <c r="F328" s="15" t="s">
        <v>283</v>
      </c>
      <c r="G328" s="17" t="s">
        <v>0</v>
      </c>
      <c r="H328" s="15" t="s">
        <v>183</v>
      </c>
      <c r="I328" s="15" t="s">
        <v>183</v>
      </c>
      <c r="J328" s="15" t="s">
        <v>183</v>
      </c>
      <c r="K328" s="40" t="s">
        <v>476</v>
      </c>
      <c r="L328" s="46" t="s">
        <v>476</v>
      </c>
      <c r="M328" s="18" t="s">
        <v>276</v>
      </c>
      <c r="N328" s="31" t="s">
        <v>376</v>
      </c>
      <c r="O328" s="30" t="s">
        <v>375</v>
      </c>
      <c r="P328" s="39"/>
      <c r="Q328" s="39"/>
    </row>
    <row r="329" spans="1:17" s="3" customFormat="1" ht="30" x14ac:dyDescent="0.25">
      <c r="A329" s="4" t="s">
        <v>234</v>
      </c>
      <c r="B329" s="15">
        <f t="shared" si="20"/>
        <v>830</v>
      </c>
      <c r="C329" s="15" t="str">
        <f t="shared" si="21"/>
        <v>0x0000033E</v>
      </c>
      <c r="D329" s="15">
        <v>2</v>
      </c>
      <c r="E329" s="7" t="s">
        <v>739</v>
      </c>
      <c r="F329" s="15" t="s">
        <v>283</v>
      </c>
      <c r="G329" s="17" t="s">
        <v>0</v>
      </c>
      <c r="H329" s="15" t="s">
        <v>183</v>
      </c>
      <c r="I329" s="15" t="s">
        <v>183</v>
      </c>
      <c r="J329" s="15" t="s">
        <v>183</v>
      </c>
      <c r="K329" s="40" t="s">
        <v>476</v>
      </c>
      <c r="L329" s="46" t="s">
        <v>476</v>
      </c>
      <c r="M329" s="18" t="s">
        <v>276</v>
      </c>
      <c r="N329" s="31" t="s">
        <v>376</v>
      </c>
      <c r="O329" s="30" t="s">
        <v>375</v>
      </c>
      <c r="P329" s="39"/>
      <c r="Q329" s="39"/>
    </row>
    <row r="330" spans="1:17" s="3" customFormat="1" ht="30" x14ac:dyDescent="0.25">
      <c r="A330" s="4" t="s">
        <v>234</v>
      </c>
      <c r="B330" s="15">
        <f t="shared" si="20"/>
        <v>832</v>
      </c>
      <c r="C330" s="15" t="str">
        <f t="shared" si="21"/>
        <v>0x00000340</v>
      </c>
      <c r="D330" s="15">
        <v>2</v>
      </c>
      <c r="E330" s="7" t="s">
        <v>740</v>
      </c>
      <c r="F330" s="15" t="s">
        <v>283</v>
      </c>
      <c r="G330" s="17" t="s">
        <v>0</v>
      </c>
      <c r="H330" s="15" t="s">
        <v>183</v>
      </c>
      <c r="I330" s="15" t="s">
        <v>183</v>
      </c>
      <c r="J330" s="15" t="s">
        <v>183</v>
      </c>
      <c r="K330" s="40" t="s">
        <v>476</v>
      </c>
      <c r="L330" s="46" t="s">
        <v>476</v>
      </c>
      <c r="M330" s="18" t="s">
        <v>276</v>
      </c>
      <c r="N330" s="31" t="s">
        <v>376</v>
      </c>
      <c r="O330" s="30" t="s">
        <v>375</v>
      </c>
      <c r="P330" s="39"/>
      <c r="Q330" s="39"/>
    </row>
    <row r="331" spans="1:17" s="3" customFormat="1" ht="30" x14ac:dyDescent="0.25">
      <c r="A331" s="4" t="s">
        <v>234</v>
      </c>
      <c r="B331" s="15">
        <f t="shared" si="20"/>
        <v>834</v>
      </c>
      <c r="C331" s="15" t="str">
        <f t="shared" si="21"/>
        <v>0x00000342</v>
      </c>
      <c r="D331" s="15">
        <v>2</v>
      </c>
      <c r="E331" s="7" t="s">
        <v>741</v>
      </c>
      <c r="F331" s="15" t="s">
        <v>283</v>
      </c>
      <c r="G331" s="17" t="s">
        <v>0</v>
      </c>
      <c r="H331" s="15" t="s">
        <v>183</v>
      </c>
      <c r="I331" s="15" t="s">
        <v>183</v>
      </c>
      <c r="J331" s="15" t="s">
        <v>183</v>
      </c>
      <c r="K331" s="40" t="s">
        <v>476</v>
      </c>
      <c r="L331" s="46" t="s">
        <v>476</v>
      </c>
      <c r="M331" s="18" t="s">
        <v>276</v>
      </c>
      <c r="N331" s="31" t="s">
        <v>376</v>
      </c>
      <c r="O331" s="30" t="s">
        <v>375</v>
      </c>
      <c r="P331" s="39"/>
      <c r="Q331" s="39"/>
    </row>
    <row r="332" spans="1:17" s="3" customFormat="1" ht="30" x14ac:dyDescent="0.25">
      <c r="A332" s="4" t="s">
        <v>234</v>
      </c>
      <c r="B332" s="15">
        <f t="shared" si="20"/>
        <v>836</v>
      </c>
      <c r="C332" s="15" t="str">
        <f t="shared" si="21"/>
        <v>0x00000344</v>
      </c>
      <c r="D332" s="15">
        <v>2</v>
      </c>
      <c r="E332" s="7" t="s">
        <v>742</v>
      </c>
      <c r="F332" s="15" t="s">
        <v>283</v>
      </c>
      <c r="G332" s="17" t="s">
        <v>0</v>
      </c>
      <c r="H332" s="15" t="s">
        <v>183</v>
      </c>
      <c r="I332" s="15" t="s">
        <v>183</v>
      </c>
      <c r="J332" s="15" t="s">
        <v>183</v>
      </c>
      <c r="K332" s="40" t="s">
        <v>476</v>
      </c>
      <c r="L332" s="46" t="s">
        <v>476</v>
      </c>
      <c r="M332" s="18" t="s">
        <v>276</v>
      </c>
      <c r="N332" s="31" t="s">
        <v>376</v>
      </c>
      <c r="O332" s="30" t="s">
        <v>375</v>
      </c>
      <c r="P332" s="39"/>
      <c r="Q332" s="39"/>
    </row>
    <row r="333" spans="1:17" s="3" customFormat="1" ht="30" x14ac:dyDescent="0.25">
      <c r="A333" s="4" t="s">
        <v>234</v>
      </c>
      <c r="B333" s="15">
        <f t="shared" si="20"/>
        <v>838</v>
      </c>
      <c r="C333" s="15" t="str">
        <f t="shared" si="21"/>
        <v>0x00000346</v>
      </c>
      <c r="D333" s="15">
        <v>2</v>
      </c>
      <c r="E333" s="7" t="s">
        <v>743</v>
      </c>
      <c r="F333" s="15" t="s">
        <v>283</v>
      </c>
      <c r="G333" s="17" t="s">
        <v>0</v>
      </c>
      <c r="H333" s="15" t="s">
        <v>183</v>
      </c>
      <c r="I333" s="15" t="s">
        <v>183</v>
      </c>
      <c r="J333" s="15" t="s">
        <v>183</v>
      </c>
      <c r="K333" s="40" t="s">
        <v>476</v>
      </c>
      <c r="L333" s="46" t="s">
        <v>476</v>
      </c>
      <c r="M333" s="18" t="s">
        <v>276</v>
      </c>
      <c r="N333" s="31" t="s">
        <v>376</v>
      </c>
      <c r="O333" s="30" t="s">
        <v>375</v>
      </c>
      <c r="P333" s="39"/>
      <c r="Q333" s="39"/>
    </row>
    <row r="334" spans="1:17" s="3" customFormat="1" ht="30" x14ac:dyDescent="0.25">
      <c r="A334" s="4" t="s">
        <v>234</v>
      </c>
      <c r="B334" s="15">
        <f t="shared" si="20"/>
        <v>840</v>
      </c>
      <c r="C334" s="15" t="str">
        <f t="shared" si="21"/>
        <v>0x00000348</v>
      </c>
      <c r="D334" s="15">
        <v>2</v>
      </c>
      <c r="E334" s="7" t="s">
        <v>744</v>
      </c>
      <c r="F334" s="15" t="s">
        <v>283</v>
      </c>
      <c r="G334" s="17" t="s">
        <v>0</v>
      </c>
      <c r="H334" s="15" t="s">
        <v>183</v>
      </c>
      <c r="I334" s="15" t="s">
        <v>183</v>
      </c>
      <c r="J334" s="15" t="s">
        <v>183</v>
      </c>
      <c r="K334" s="40" t="s">
        <v>476</v>
      </c>
      <c r="L334" s="46" t="s">
        <v>476</v>
      </c>
      <c r="M334" s="18" t="s">
        <v>276</v>
      </c>
      <c r="N334" s="31" t="s">
        <v>376</v>
      </c>
      <c r="O334" s="30" t="s">
        <v>375</v>
      </c>
      <c r="P334" s="39"/>
      <c r="Q334" s="39"/>
    </row>
    <row r="335" spans="1:17" s="3" customFormat="1" ht="30" x14ac:dyDescent="0.25">
      <c r="A335" s="4" t="s">
        <v>234</v>
      </c>
      <c r="B335" s="15">
        <f t="shared" si="20"/>
        <v>842</v>
      </c>
      <c r="C335" s="15" t="str">
        <f t="shared" si="21"/>
        <v>0x0000034A</v>
      </c>
      <c r="D335" s="15">
        <v>2</v>
      </c>
      <c r="E335" s="7" t="s">
        <v>745</v>
      </c>
      <c r="F335" s="15" t="s">
        <v>283</v>
      </c>
      <c r="G335" s="17" t="s">
        <v>0</v>
      </c>
      <c r="H335" s="15" t="s">
        <v>183</v>
      </c>
      <c r="I335" s="15" t="s">
        <v>183</v>
      </c>
      <c r="J335" s="15" t="s">
        <v>183</v>
      </c>
      <c r="K335" s="40" t="s">
        <v>476</v>
      </c>
      <c r="L335" s="46" t="s">
        <v>476</v>
      </c>
      <c r="M335" s="18" t="s">
        <v>276</v>
      </c>
      <c r="N335" s="31" t="s">
        <v>376</v>
      </c>
      <c r="O335" s="30" t="s">
        <v>375</v>
      </c>
      <c r="P335" s="39"/>
      <c r="Q335" s="39"/>
    </row>
    <row r="336" spans="1:17" s="3" customFormat="1" ht="30" x14ac:dyDescent="0.25">
      <c r="A336" s="4" t="s">
        <v>234</v>
      </c>
      <c r="B336" s="15">
        <f t="shared" si="20"/>
        <v>844</v>
      </c>
      <c r="C336" s="15" t="str">
        <f t="shared" si="21"/>
        <v>0x0000034C</v>
      </c>
      <c r="D336" s="15">
        <v>2</v>
      </c>
      <c r="E336" s="7" t="s">
        <v>746</v>
      </c>
      <c r="F336" s="15" t="s">
        <v>283</v>
      </c>
      <c r="G336" s="17" t="s">
        <v>0</v>
      </c>
      <c r="H336" s="15" t="s">
        <v>183</v>
      </c>
      <c r="I336" s="15" t="s">
        <v>183</v>
      </c>
      <c r="J336" s="15" t="s">
        <v>183</v>
      </c>
      <c r="K336" s="40" t="s">
        <v>476</v>
      </c>
      <c r="L336" s="46" t="s">
        <v>476</v>
      </c>
      <c r="M336" s="18" t="s">
        <v>276</v>
      </c>
      <c r="N336" s="31" t="s">
        <v>376</v>
      </c>
      <c r="O336" s="30" t="s">
        <v>375</v>
      </c>
      <c r="P336" s="39"/>
      <c r="Q336" s="39"/>
    </row>
    <row r="337" spans="1:17" s="3" customFormat="1" ht="30" x14ac:dyDescent="0.25">
      <c r="A337" s="4" t="s">
        <v>234</v>
      </c>
      <c r="B337" s="15">
        <f t="shared" si="20"/>
        <v>846</v>
      </c>
      <c r="C337" s="15" t="str">
        <f t="shared" si="21"/>
        <v>0x0000034E</v>
      </c>
      <c r="D337" s="15">
        <v>2</v>
      </c>
      <c r="E337" s="7" t="s">
        <v>747</v>
      </c>
      <c r="F337" s="15" t="s">
        <v>283</v>
      </c>
      <c r="G337" s="17" t="s">
        <v>0</v>
      </c>
      <c r="H337" s="15" t="s">
        <v>183</v>
      </c>
      <c r="I337" s="15" t="s">
        <v>183</v>
      </c>
      <c r="J337" s="15" t="s">
        <v>183</v>
      </c>
      <c r="K337" s="40" t="s">
        <v>476</v>
      </c>
      <c r="L337" s="46" t="s">
        <v>476</v>
      </c>
      <c r="M337" s="18" t="s">
        <v>276</v>
      </c>
      <c r="N337" s="31" t="s">
        <v>376</v>
      </c>
      <c r="O337" s="30" t="s">
        <v>375</v>
      </c>
      <c r="P337" s="39"/>
      <c r="Q337" s="39"/>
    </row>
    <row r="338" spans="1:17" ht="60" x14ac:dyDescent="0.25">
      <c r="A338" s="4" t="s">
        <v>234</v>
      </c>
      <c r="B338" s="15">
        <f t="shared" si="20"/>
        <v>848</v>
      </c>
      <c r="C338" s="15" t="str">
        <f t="shared" si="10"/>
        <v>0x00000350</v>
      </c>
      <c r="D338" s="15">
        <v>4</v>
      </c>
      <c r="E338" s="16" t="s">
        <v>748</v>
      </c>
      <c r="F338" s="15" t="s">
        <v>285</v>
      </c>
      <c r="G338" s="17" t="s">
        <v>0</v>
      </c>
      <c r="H338" s="15">
        <v>0</v>
      </c>
      <c r="I338" s="15">
        <v>2</v>
      </c>
      <c r="J338" s="15" t="str">
        <f>CONCATENATE("["&amp;Tableau1[[#This Row],[Min]]&amp;"; "&amp;Tableau1[[#This Row],[Max]]&amp;"]")</f>
        <v>[0; 2]</v>
      </c>
      <c r="K338" s="40">
        <v>2</v>
      </c>
      <c r="L338" s="46">
        <v>2</v>
      </c>
      <c r="M338" s="18" t="s">
        <v>177</v>
      </c>
      <c r="N338" s="31" t="s">
        <v>376</v>
      </c>
      <c r="O338" s="30" t="s">
        <v>375</v>
      </c>
      <c r="P338" s="39"/>
      <c r="Q338" s="39"/>
    </row>
    <row r="339" spans="1:17" ht="45" x14ac:dyDescent="0.25">
      <c r="A339" s="4" t="s">
        <v>234</v>
      </c>
      <c r="B339" s="15">
        <f t="shared" si="7"/>
        <v>852</v>
      </c>
      <c r="C339" s="15" t="str">
        <f t="shared" si="10"/>
        <v>0x00000354</v>
      </c>
      <c r="D339" s="15">
        <v>4</v>
      </c>
      <c r="E339" s="16" t="s">
        <v>99</v>
      </c>
      <c r="F339" s="15" t="s">
        <v>285</v>
      </c>
      <c r="G339" s="17" t="s">
        <v>0</v>
      </c>
      <c r="H339" s="15">
        <v>0</v>
      </c>
      <c r="I339" s="15">
        <v>1</v>
      </c>
      <c r="J339" s="15" t="str">
        <f>CONCATENATE("["&amp;Tableau1[[#This Row],[Min]]&amp;"; "&amp;Tableau1[[#This Row],[Max]]&amp;"]")</f>
        <v>[0; 1]</v>
      </c>
      <c r="K339" s="40">
        <v>0</v>
      </c>
      <c r="L339" s="46">
        <v>0</v>
      </c>
      <c r="M339" s="18" t="s">
        <v>178</v>
      </c>
      <c r="N339" s="31"/>
      <c r="O339" s="30" t="s">
        <v>377</v>
      </c>
      <c r="P339" s="39"/>
      <c r="Q339" s="39"/>
    </row>
    <row r="340" spans="1:17" ht="45" x14ac:dyDescent="0.25">
      <c r="A340" s="4" t="s">
        <v>234</v>
      </c>
      <c r="B340" s="15">
        <f t="shared" si="7"/>
        <v>856</v>
      </c>
      <c r="C340" s="15" t="str">
        <f t="shared" si="10"/>
        <v>0x00000358</v>
      </c>
      <c r="D340" s="15">
        <v>4</v>
      </c>
      <c r="E340" s="16" t="s">
        <v>100</v>
      </c>
      <c r="F340" s="15" t="s">
        <v>285</v>
      </c>
      <c r="G340" s="17" t="s">
        <v>0</v>
      </c>
      <c r="H340" s="15">
        <v>0</v>
      </c>
      <c r="I340" s="15">
        <v>1</v>
      </c>
      <c r="J340" s="15" t="str">
        <f>CONCATENATE("["&amp;Tableau1[[#This Row],[Min]]&amp;"; "&amp;Tableau1[[#This Row],[Max]]&amp;"]")</f>
        <v>[0; 1]</v>
      </c>
      <c r="K340" s="40">
        <v>0</v>
      </c>
      <c r="L340" s="46">
        <v>0</v>
      </c>
      <c r="M340" s="11" t="s">
        <v>410</v>
      </c>
      <c r="N340" s="31"/>
      <c r="O340" s="30" t="s">
        <v>378</v>
      </c>
      <c r="P340" s="39"/>
      <c r="Q340" s="39"/>
    </row>
    <row r="341" spans="1:17" ht="75" x14ac:dyDescent="0.25">
      <c r="A341" s="4" t="s">
        <v>234</v>
      </c>
      <c r="B341" s="15">
        <f t="shared" si="7"/>
        <v>860</v>
      </c>
      <c r="C341" s="15" t="str">
        <f t="shared" si="10"/>
        <v>0x0000035C</v>
      </c>
      <c r="D341" s="15">
        <v>4</v>
      </c>
      <c r="E341" s="16" t="s">
        <v>101</v>
      </c>
      <c r="F341" s="15" t="s">
        <v>285</v>
      </c>
      <c r="G341" s="17" t="s">
        <v>0</v>
      </c>
      <c r="H341" s="15">
        <v>0</v>
      </c>
      <c r="I341" s="15">
        <v>3</v>
      </c>
      <c r="J341" s="15" t="str">
        <f>CONCATENATE("["&amp;Tableau1[[#This Row],[Min]]&amp;"; "&amp;Tableau1[[#This Row],[Max]]&amp;"]")</f>
        <v>[0; 3]</v>
      </c>
      <c r="K341" s="40">
        <v>3</v>
      </c>
      <c r="L341" s="46">
        <v>3</v>
      </c>
      <c r="M341" s="18" t="s">
        <v>180</v>
      </c>
      <c r="N341" s="31"/>
      <c r="O341" s="30" t="s">
        <v>378</v>
      </c>
      <c r="P341" s="39"/>
      <c r="Q341" s="39"/>
    </row>
    <row r="342" spans="1:17" ht="45" x14ac:dyDescent="0.25">
      <c r="A342" s="4" t="s">
        <v>234</v>
      </c>
      <c r="B342" s="15">
        <f t="shared" si="7"/>
        <v>864</v>
      </c>
      <c r="C342" s="15" t="str">
        <f t="shared" si="10"/>
        <v>0x00000360</v>
      </c>
      <c r="D342" s="15">
        <v>4</v>
      </c>
      <c r="E342" s="16" t="s">
        <v>289</v>
      </c>
      <c r="F342" s="15" t="s">
        <v>285</v>
      </c>
      <c r="G342" s="17" t="s">
        <v>0</v>
      </c>
      <c r="H342" s="15">
        <v>0</v>
      </c>
      <c r="I342" s="15">
        <v>1</v>
      </c>
      <c r="J342" s="15" t="str">
        <f>CONCATENATE("["&amp;Tableau1[[#This Row],[Min]]&amp;"; "&amp;Tableau1[[#This Row],[Max]]&amp;"]")</f>
        <v>[0; 1]</v>
      </c>
      <c r="K342" s="40">
        <v>0</v>
      </c>
      <c r="L342" s="46">
        <v>0</v>
      </c>
      <c r="M342" s="18" t="s">
        <v>179</v>
      </c>
      <c r="N342" s="31"/>
      <c r="O342" s="30" t="s">
        <v>377</v>
      </c>
      <c r="P342" s="39"/>
      <c r="Q342" s="39"/>
    </row>
    <row r="343" spans="1:17" ht="75" x14ac:dyDescent="0.25">
      <c r="A343" s="4" t="s">
        <v>234</v>
      </c>
      <c r="B343" s="15">
        <f t="shared" si="7"/>
        <v>868</v>
      </c>
      <c r="C343" s="15" t="str">
        <f t="shared" si="10"/>
        <v>0x00000364</v>
      </c>
      <c r="D343" s="15">
        <v>4</v>
      </c>
      <c r="E343" s="16" t="s">
        <v>102</v>
      </c>
      <c r="F343" s="15" t="s">
        <v>285</v>
      </c>
      <c r="G343" s="17" t="s">
        <v>0</v>
      </c>
      <c r="H343" s="15">
        <v>0</v>
      </c>
      <c r="I343" s="15">
        <v>3</v>
      </c>
      <c r="J343" s="15" t="str">
        <f>CONCATENATE("["&amp;Tableau1[[#This Row],[Min]]&amp;"; "&amp;Tableau1[[#This Row],[Max]]&amp;"]")</f>
        <v>[0; 3]</v>
      </c>
      <c r="K343" s="40">
        <v>3</v>
      </c>
      <c r="L343" s="46">
        <v>3</v>
      </c>
      <c r="M343" s="18" t="s">
        <v>181</v>
      </c>
      <c r="N343" s="31"/>
      <c r="O343" s="30" t="s">
        <v>378</v>
      </c>
      <c r="P343" s="39"/>
      <c r="Q343" s="39"/>
    </row>
    <row r="344" spans="1:17" ht="45" x14ac:dyDescent="0.25">
      <c r="A344" s="4" t="s">
        <v>234</v>
      </c>
      <c r="B344" s="15">
        <f t="shared" si="7"/>
        <v>872</v>
      </c>
      <c r="C344" s="15" t="str">
        <f t="shared" si="10"/>
        <v>0x00000368</v>
      </c>
      <c r="D344" s="15">
        <v>4</v>
      </c>
      <c r="E344" s="16" t="s">
        <v>146</v>
      </c>
      <c r="F344" s="15" t="s">
        <v>285</v>
      </c>
      <c r="G344" s="17" t="s">
        <v>0</v>
      </c>
      <c r="H344" s="15">
        <v>0</v>
      </c>
      <c r="I344" s="15">
        <v>1</v>
      </c>
      <c r="J344" s="15" t="str">
        <f>CONCATENATE("["&amp;Tableau1[[#This Row],[Min]]&amp;"; "&amp;Tableau1[[#This Row],[Max]]&amp;"]")</f>
        <v>[0; 1]</v>
      </c>
      <c r="K344" s="40">
        <v>0</v>
      </c>
      <c r="L344" s="46">
        <v>0</v>
      </c>
      <c r="M344" s="18" t="s">
        <v>184</v>
      </c>
      <c r="N344" s="36" t="s">
        <v>380</v>
      </c>
      <c r="O344" s="35" t="s">
        <v>379</v>
      </c>
      <c r="P344" s="39"/>
      <c r="Q344" s="39"/>
    </row>
    <row r="345" spans="1:17" ht="45" x14ac:dyDescent="0.25">
      <c r="A345" s="4" t="s">
        <v>234</v>
      </c>
      <c r="B345" s="15">
        <f t="shared" si="7"/>
        <v>876</v>
      </c>
      <c r="C345" s="15" t="str">
        <f t="shared" si="10"/>
        <v>0x0000036C</v>
      </c>
      <c r="D345" s="15">
        <v>4</v>
      </c>
      <c r="E345" s="16" t="s">
        <v>147</v>
      </c>
      <c r="F345" s="15" t="s">
        <v>285</v>
      </c>
      <c r="G345" s="17" t="s">
        <v>0</v>
      </c>
      <c r="H345" s="15">
        <v>0</v>
      </c>
      <c r="I345" s="15">
        <v>1</v>
      </c>
      <c r="J345" s="15" t="str">
        <f>CONCATENATE("["&amp;Tableau1[[#This Row],[Min]]&amp;"; "&amp;Tableau1[[#This Row],[Max]]&amp;"]")</f>
        <v>[0; 1]</v>
      </c>
      <c r="K345" s="40">
        <v>0</v>
      </c>
      <c r="L345" s="46">
        <v>0</v>
      </c>
      <c r="M345" s="18" t="s">
        <v>185</v>
      </c>
      <c r="N345" s="36" t="s">
        <v>382</v>
      </c>
      <c r="O345" s="35" t="s">
        <v>381</v>
      </c>
      <c r="P345" s="39"/>
      <c r="Q345" s="39"/>
    </row>
    <row r="346" spans="1:17" ht="45" x14ac:dyDescent="0.25">
      <c r="A346" s="4" t="s">
        <v>234</v>
      </c>
      <c r="B346" s="15">
        <f t="shared" si="7"/>
        <v>880</v>
      </c>
      <c r="C346" s="15" t="str">
        <f t="shared" si="10"/>
        <v>0x00000370</v>
      </c>
      <c r="D346" s="15">
        <v>4</v>
      </c>
      <c r="E346" s="16" t="s">
        <v>148</v>
      </c>
      <c r="F346" s="15" t="s">
        <v>285</v>
      </c>
      <c r="G346" s="17" t="s">
        <v>0</v>
      </c>
      <c r="H346" s="15">
        <v>0</v>
      </c>
      <c r="I346" s="15">
        <v>1</v>
      </c>
      <c r="J346" s="15" t="str">
        <f>CONCATENATE("["&amp;Tableau1[[#This Row],[Min]]&amp;"; "&amp;Tableau1[[#This Row],[Max]]&amp;"]")</f>
        <v>[0; 1]</v>
      </c>
      <c r="K346" s="40">
        <v>0</v>
      </c>
      <c r="L346" s="46">
        <v>0</v>
      </c>
      <c r="M346" s="18" t="s">
        <v>186</v>
      </c>
      <c r="N346" s="36" t="s">
        <v>384</v>
      </c>
      <c r="O346" s="35" t="s">
        <v>383</v>
      </c>
      <c r="P346" s="39"/>
      <c r="Q346" s="39"/>
    </row>
    <row r="347" spans="1:17" ht="45" x14ac:dyDescent="0.25">
      <c r="A347" s="4" t="s">
        <v>234</v>
      </c>
      <c r="B347" s="15">
        <f t="shared" si="7"/>
        <v>884</v>
      </c>
      <c r="C347" s="15" t="str">
        <f t="shared" si="10"/>
        <v>0x00000374</v>
      </c>
      <c r="D347" s="15">
        <v>4</v>
      </c>
      <c r="E347" s="16" t="s">
        <v>149</v>
      </c>
      <c r="F347" s="15" t="s">
        <v>285</v>
      </c>
      <c r="G347" s="17" t="s">
        <v>0</v>
      </c>
      <c r="H347" s="15">
        <v>0</v>
      </c>
      <c r="I347" s="15">
        <v>1</v>
      </c>
      <c r="J347" s="15" t="str">
        <f>CONCATENATE("["&amp;Tableau1[[#This Row],[Min]]&amp;"; "&amp;Tableau1[[#This Row],[Max]]&amp;"]")</f>
        <v>[0; 1]</v>
      </c>
      <c r="K347" s="40">
        <v>0</v>
      </c>
      <c r="L347" s="46">
        <v>0</v>
      </c>
      <c r="M347" s="18" t="s">
        <v>227</v>
      </c>
      <c r="N347" s="36" t="s">
        <v>386</v>
      </c>
      <c r="O347" s="35" t="s">
        <v>385</v>
      </c>
      <c r="P347" s="39"/>
      <c r="Q347" s="39"/>
    </row>
    <row r="348" spans="1:17" ht="45" x14ac:dyDescent="0.25">
      <c r="A348" s="4" t="s">
        <v>234</v>
      </c>
      <c r="B348" s="15">
        <f t="shared" si="7"/>
        <v>888</v>
      </c>
      <c r="C348" s="15" t="str">
        <f t="shared" si="10"/>
        <v>0x00000378</v>
      </c>
      <c r="D348" s="15">
        <v>4</v>
      </c>
      <c r="E348" s="16" t="s">
        <v>150</v>
      </c>
      <c r="F348" s="15" t="s">
        <v>285</v>
      </c>
      <c r="G348" s="17" t="s">
        <v>0</v>
      </c>
      <c r="H348" s="15">
        <v>0</v>
      </c>
      <c r="I348" s="15">
        <v>1</v>
      </c>
      <c r="J348" s="15" t="str">
        <f>CONCATENATE("["&amp;Tableau1[[#This Row],[Min]]&amp;"; "&amp;Tableau1[[#This Row],[Max]]&amp;"]")</f>
        <v>[0; 1]</v>
      </c>
      <c r="K348" s="40">
        <v>0</v>
      </c>
      <c r="L348" s="46">
        <v>0</v>
      </c>
      <c r="M348" s="18" t="s">
        <v>228</v>
      </c>
      <c r="N348" s="36" t="s">
        <v>388</v>
      </c>
      <c r="O348" s="35" t="s">
        <v>387</v>
      </c>
      <c r="P348" s="39"/>
      <c r="Q348" s="39"/>
    </row>
    <row r="349" spans="1:17" ht="45" x14ac:dyDescent="0.25">
      <c r="A349" s="4" t="s">
        <v>234</v>
      </c>
      <c r="B349" s="15">
        <f t="shared" si="7"/>
        <v>892</v>
      </c>
      <c r="C349" s="15" t="str">
        <f t="shared" si="10"/>
        <v>0x0000037C</v>
      </c>
      <c r="D349" s="15">
        <v>4</v>
      </c>
      <c r="E349" s="16" t="s">
        <v>151</v>
      </c>
      <c r="F349" s="15" t="s">
        <v>285</v>
      </c>
      <c r="G349" s="17" t="s">
        <v>0</v>
      </c>
      <c r="H349" s="15">
        <v>0</v>
      </c>
      <c r="I349" s="15">
        <v>1</v>
      </c>
      <c r="J349" s="15" t="str">
        <f>CONCATENATE("["&amp;Tableau1[[#This Row],[Min]]&amp;"; "&amp;Tableau1[[#This Row],[Max]]&amp;"]")</f>
        <v>[0; 1]</v>
      </c>
      <c r="K349" s="40">
        <v>0</v>
      </c>
      <c r="L349" s="46">
        <v>0</v>
      </c>
      <c r="M349" s="18" t="s">
        <v>229</v>
      </c>
      <c r="N349" s="36" t="s">
        <v>390</v>
      </c>
      <c r="O349" s="35" t="s">
        <v>389</v>
      </c>
      <c r="P349" s="39"/>
      <c r="Q349" s="39"/>
    </row>
    <row r="350" spans="1:17" ht="45" x14ac:dyDescent="0.25">
      <c r="A350" s="4" t="s">
        <v>234</v>
      </c>
      <c r="B350" s="15">
        <f t="shared" si="7"/>
        <v>896</v>
      </c>
      <c r="C350" s="15" t="str">
        <f t="shared" si="10"/>
        <v>0x00000380</v>
      </c>
      <c r="D350" s="15">
        <v>4</v>
      </c>
      <c r="E350" s="16" t="s">
        <v>152</v>
      </c>
      <c r="F350" s="15" t="s">
        <v>285</v>
      </c>
      <c r="G350" s="17" t="s">
        <v>0</v>
      </c>
      <c r="H350" s="15">
        <v>0</v>
      </c>
      <c r="I350" s="15">
        <v>1</v>
      </c>
      <c r="J350" s="15" t="str">
        <f>CONCATENATE("["&amp;Tableau1[[#This Row],[Min]]&amp;"; "&amp;Tableau1[[#This Row],[Max]]&amp;"]")</f>
        <v>[0; 1]</v>
      </c>
      <c r="K350" s="40">
        <v>0</v>
      </c>
      <c r="L350" s="46">
        <v>0</v>
      </c>
      <c r="M350" s="18" t="s">
        <v>230</v>
      </c>
      <c r="N350" s="36" t="s">
        <v>392</v>
      </c>
      <c r="O350" s="35" t="s">
        <v>391</v>
      </c>
      <c r="P350" s="39"/>
      <c r="Q350" s="39"/>
    </row>
    <row r="351" spans="1:17" ht="45" x14ac:dyDescent="0.25">
      <c r="A351" s="4" t="s">
        <v>234</v>
      </c>
      <c r="B351" s="15">
        <f t="shared" si="7"/>
        <v>900</v>
      </c>
      <c r="C351" s="15" t="str">
        <f t="shared" si="10"/>
        <v>0x00000384</v>
      </c>
      <c r="D351" s="15">
        <v>4</v>
      </c>
      <c r="E351" s="16" t="s">
        <v>153</v>
      </c>
      <c r="F351" s="15" t="s">
        <v>285</v>
      </c>
      <c r="G351" s="17" t="s">
        <v>0</v>
      </c>
      <c r="H351" s="15">
        <v>0</v>
      </c>
      <c r="I351" s="15">
        <v>1</v>
      </c>
      <c r="J351" s="15" t="str">
        <f>CONCATENATE("["&amp;Tableau1[[#This Row],[Min]]&amp;"; "&amp;Tableau1[[#This Row],[Max]]&amp;"]")</f>
        <v>[0; 1]</v>
      </c>
      <c r="K351" s="40">
        <v>0</v>
      </c>
      <c r="L351" s="46">
        <v>0</v>
      </c>
      <c r="M351" s="18" t="s">
        <v>187</v>
      </c>
      <c r="N351" s="36" t="s">
        <v>487</v>
      </c>
      <c r="O351" s="35" t="s">
        <v>393</v>
      </c>
      <c r="P351" s="39"/>
      <c r="Q351" s="39"/>
    </row>
    <row r="352" spans="1:17" ht="45" x14ac:dyDescent="0.25">
      <c r="A352" s="4" t="s">
        <v>234</v>
      </c>
      <c r="B352" s="15">
        <f t="shared" si="7"/>
        <v>904</v>
      </c>
      <c r="C352" s="15" t="str">
        <f t="shared" si="10"/>
        <v>0x00000388</v>
      </c>
      <c r="D352" s="15">
        <v>4</v>
      </c>
      <c r="E352" s="16" t="s">
        <v>154</v>
      </c>
      <c r="F352" s="15" t="s">
        <v>285</v>
      </c>
      <c r="G352" s="17" t="s">
        <v>0</v>
      </c>
      <c r="H352" s="15">
        <v>0</v>
      </c>
      <c r="I352" s="15">
        <v>1</v>
      </c>
      <c r="J352" s="15" t="str">
        <f>CONCATENATE("["&amp;Tableau1[[#This Row],[Min]]&amp;"; "&amp;Tableau1[[#This Row],[Max]]&amp;"]")</f>
        <v>[0; 1]</v>
      </c>
      <c r="K352" s="40">
        <v>0</v>
      </c>
      <c r="L352" s="46">
        <v>0</v>
      </c>
      <c r="M352" s="18" t="s">
        <v>188</v>
      </c>
      <c r="N352" s="36" t="s">
        <v>487</v>
      </c>
      <c r="O352" s="35" t="s">
        <v>393</v>
      </c>
      <c r="P352" s="39"/>
      <c r="Q352" s="39"/>
    </row>
    <row r="353" spans="1:17" x14ac:dyDescent="0.25">
      <c r="A353" s="4" t="s">
        <v>234</v>
      </c>
      <c r="B353" s="15">
        <f t="shared" si="7"/>
        <v>908</v>
      </c>
      <c r="C353" s="15" t="str">
        <f>CONCATENATE("0x",DEC2HEX(B353,8))</f>
        <v>0x0000038C</v>
      </c>
      <c r="D353" s="15">
        <v>4</v>
      </c>
      <c r="E353" s="7" t="s">
        <v>482</v>
      </c>
      <c r="F353" s="15" t="s">
        <v>287</v>
      </c>
      <c r="G353" s="17" t="s">
        <v>0</v>
      </c>
      <c r="H353" s="61">
        <v>9.9999999999999995E-7</v>
      </c>
      <c r="I353" s="61">
        <v>1E-4</v>
      </c>
      <c r="J353" s="15" t="str">
        <f>CONCATENATE("["&amp;Tableau1[[#This Row],[Min]]&amp;"; "&amp;Tableau1[[#This Row],[Max]]&amp;"]")</f>
        <v>[0.000001; 0.0001]</v>
      </c>
      <c r="K353" s="62">
        <v>9.9999999999999995E-7</v>
      </c>
      <c r="L353" s="63">
        <v>9.9999999999999995E-7</v>
      </c>
      <c r="M353" s="60" t="s">
        <v>488</v>
      </c>
      <c r="N353" s="36" t="s">
        <v>486</v>
      </c>
      <c r="O353" s="35" t="s">
        <v>485</v>
      </c>
      <c r="P353" s="39"/>
      <c r="Q353" s="39"/>
    </row>
    <row r="354" spans="1:17" x14ac:dyDescent="0.25">
      <c r="A354" s="4" t="s">
        <v>234</v>
      </c>
      <c r="B354" s="15">
        <f>B353+D353</f>
        <v>912</v>
      </c>
      <c r="C354" s="15" t="str">
        <f>CONCATENATE("0x",DEC2HEX(B354,8))</f>
        <v>0x00000390</v>
      </c>
      <c r="D354" s="15">
        <v>4</v>
      </c>
      <c r="E354" s="7" t="s">
        <v>483</v>
      </c>
      <c r="F354" s="15" t="s">
        <v>287</v>
      </c>
      <c r="G354" s="17" t="s">
        <v>0</v>
      </c>
      <c r="H354" s="61">
        <v>1E-8</v>
      </c>
      <c r="I354" s="61">
        <v>1E-4</v>
      </c>
      <c r="J354" s="15" t="str">
        <f>CONCATENATE("["&amp;Tableau1[[#This Row],[Min]]&amp;"; "&amp;Tableau1[[#This Row],[Max]]&amp;"]")</f>
        <v>[0.00000001; 0.0001]</v>
      </c>
      <c r="K354" s="62">
        <v>1E-8</v>
      </c>
      <c r="L354" s="63">
        <v>1E-8</v>
      </c>
      <c r="M354" s="60" t="s">
        <v>489</v>
      </c>
      <c r="N354" s="36" t="s">
        <v>486</v>
      </c>
      <c r="O354" s="35" t="s">
        <v>485</v>
      </c>
      <c r="P354" s="39"/>
      <c r="Q354" s="39"/>
    </row>
    <row r="355" spans="1:17" x14ac:dyDescent="0.25">
      <c r="A355" s="23" t="s">
        <v>234</v>
      </c>
      <c r="B355" s="14">
        <f>B354+D354</f>
        <v>916</v>
      </c>
      <c r="C355" s="14" t="str">
        <f>CONCATENATE("0x",DEC2HEX(B355,8))</f>
        <v>0x00000394</v>
      </c>
      <c r="D355" s="14">
        <v>52</v>
      </c>
      <c r="E355" s="19" t="s">
        <v>35</v>
      </c>
      <c r="F355" s="14" t="s">
        <v>281</v>
      </c>
      <c r="G355" s="14" t="s">
        <v>0</v>
      </c>
      <c r="H355" s="14" t="s">
        <v>296</v>
      </c>
      <c r="I355" s="14" t="s">
        <v>296</v>
      </c>
      <c r="J355" s="14" t="s">
        <v>297</v>
      </c>
      <c r="K355" s="52">
        <v>0</v>
      </c>
      <c r="L355" s="52">
        <v>0</v>
      </c>
      <c r="M355" s="20" t="s">
        <v>484</v>
      </c>
      <c r="N355" s="33"/>
      <c r="O355" s="32"/>
      <c r="P355" s="39"/>
      <c r="Q355" s="39"/>
    </row>
    <row r="356" spans="1:17" s="3" customFormat="1" x14ac:dyDescent="0.25">
      <c r="A356" s="4" t="s">
        <v>234</v>
      </c>
      <c r="B356" s="15">
        <f>B355+D355</f>
        <v>968</v>
      </c>
      <c r="C356" s="15" t="str">
        <f t="shared" si="10"/>
        <v>0x000003C8</v>
      </c>
      <c r="D356" s="15">
        <v>4</v>
      </c>
      <c r="E356" s="16" t="s">
        <v>122</v>
      </c>
      <c r="F356" s="15" t="s">
        <v>287</v>
      </c>
      <c r="G356" s="17" t="s">
        <v>135</v>
      </c>
      <c r="H356" s="15">
        <v>5</v>
      </c>
      <c r="I356" s="15">
        <v>25</v>
      </c>
      <c r="J356" s="15" t="s">
        <v>134</v>
      </c>
      <c r="K356" s="43">
        <v>25</v>
      </c>
      <c r="L356" s="49" t="s">
        <v>444</v>
      </c>
      <c r="M356" s="18" t="s">
        <v>130</v>
      </c>
      <c r="N356" s="31"/>
      <c r="O356" s="30" t="s">
        <v>394</v>
      </c>
      <c r="P356" s="39"/>
      <c r="Q356" s="39"/>
    </row>
    <row r="357" spans="1:17" s="3" customFormat="1" x14ac:dyDescent="0.25">
      <c r="A357" s="4" t="s">
        <v>234</v>
      </c>
      <c r="B357" s="15">
        <f t="shared" ref="B357:B414" si="22">B356+D356</f>
        <v>972</v>
      </c>
      <c r="C357" s="15" t="str">
        <f t="shared" si="10"/>
        <v>0x000003CC</v>
      </c>
      <c r="D357" s="15">
        <v>4</v>
      </c>
      <c r="E357" s="16" t="s">
        <v>123</v>
      </c>
      <c r="F357" s="15" t="s">
        <v>287</v>
      </c>
      <c r="G357" s="17" t="s">
        <v>135</v>
      </c>
      <c r="H357" s="15">
        <v>5</v>
      </c>
      <c r="I357" s="15">
        <v>25</v>
      </c>
      <c r="J357" s="15" t="s">
        <v>134</v>
      </c>
      <c r="K357" s="43">
        <v>25</v>
      </c>
      <c r="L357" s="49" t="s">
        <v>444</v>
      </c>
      <c r="M357" s="18" t="s">
        <v>131</v>
      </c>
      <c r="N357" s="31"/>
      <c r="O357" s="30" t="s">
        <v>394</v>
      </c>
      <c r="P357" s="39"/>
      <c r="Q357" s="39"/>
    </row>
    <row r="358" spans="1:17" s="3" customFormat="1" x14ac:dyDescent="0.25">
      <c r="A358" s="4" t="s">
        <v>234</v>
      </c>
      <c r="B358" s="15">
        <f t="shared" si="22"/>
        <v>976</v>
      </c>
      <c r="C358" s="15" t="str">
        <f t="shared" si="10"/>
        <v>0x000003D0</v>
      </c>
      <c r="D358" s="15">
        <v>4</v>
      </c>
      <c r="E358" s="16" t="s">
        <v>124</v>
      </c>
      <c r="F358" s="15" t="s">
        <v>287</v>
      </c>
      <c r="G358" s="17" t="s">
        <v>135</v>
      </c>
      <c r="H358" s="15">
        <v>5</v>
      </c>
      <c r="I358" s="15">
        <v>25</v>
      </c>
      <c r="J358" s="15" t="s">
        <v>134</v>
      </c>
      <c r="K358" s="43">
        <v>25</v>
      </c>
      <c r="L358" s="49" t="s">
        <v>444</v>
      </c>
      <c r="M358" s="18" t="s">
        <v>132</v>
      </c>
      <c r="N358" s="31"/>
      <c r="O358" s="30" t="s">
        <v>394</v>
      </c>
      <c r="P358" s="39"/>
      <c r="Q358" s="39"/>
    </row>
    <row r="359" spans="1:17" s="3" customFormat="1" x14ac:dyDescent="0.25">
      <c r="A359" s="4" t="s">
        <v>234</v>
      </c>
      <c r="B359" s="15">
        <f t="shared" si="22"/>
        <v>980</v>
      </c>
      <c r="C359" s="15" t="str">
        <f t="shared" si="10"/>
        <v>0x000003D4</v>
      </c>
      <c r="D359" s="15">
        <v>4</v>
      </c>
      <c r="E359" s="16" t="s">
        <v>125</v>
      </c>
      <c r="F359" s="15" t="s">
        <v>287</v>
      </c>
      <c r="G359" s="17" t="s">
        <v>135</v>
      </c>
      <c r="H359" s="15">
        <v>5</v>
      </c>
      <c r="I359" s="15">
        <v>25</v>
      </c>
      <c r="J359" s="15" t="s">
        <v>134</v>
      </c>
      <c r="K359" s="43">
        <v>25</v>
      </c>
      <c r="L359" s="49" t="s">
        <v>444</v>
      </c>
      <c r="M359" s="18" t="s">
        <v>133</v>
      </c>
      <c r="N359" s="31"/>
      <c r="O359" s="30" t="s">
        <v>394</v>
      </c>
      <c r="P359" s="39"/>
      <c r="Q359" s="39"/>
    </row>
    <row r="360" spans="1:17" s="3" customFormat="1" x14ac:dyDescent="0.25">
      <c r="A360" s="4" t="s">
        <v>234</v>
      </c>
      <c r="B360" s="15">
        <f t="shared" si="22"/>
        <v>984</v>
      </c>
      <c r="C360" s="15" t="str">
        <f t="shared" si="10"/>
        <v>0x000003D8</v>
      </c>
      <c r="D360" s="15">
        <v>4</v>
      </c>
      <c r="E360" s="16" t="s">
        <v>126</v>
      </c>
      <c r="F360" s="15" t="s">
        <v>287</v>
      </c>
      <c r="G360" s="17" t="s">
        <v>141</v>
      </c>
      <c r="H360" s="15">
        <v>0.3</v>
      </c>
      <c r="I360" s="15">
        <v>3</v>
      </c>
      <c r="J360" s="15" t="s">
        <v>140</v>
      </c>
      <c r="K360" s="43">
        <v>3</v>
      </c>
      <c r="L360" s="49" t="s">
        <v>477</v>
      </c>
      <c r="M360" s="18" t="s">
        <v>136</v>
      </c>
      <c r="N360" s="31"/>
      <c r="O360" s="30" t="s">
        <v>394</v>
      </c>
      <c r="P360" s="39"/>
      <c r="Q360" s="39"/>
    </row>
    <row r="361" spans="1:17" s="3" customFormat="1" x14ac:dyDescent="0.25">
      <c r="A361" s="4" t="s">
        <v>234</v>
      </c>
      <c r="B361" s="15">
        <f t="shared" si="22"/>
        <v>988</v>
      </c>
      <c r="C361" s="15" t="str">
        <f t="shared" si="10"/>
        <v>0x000003DC</v>
      </c>
      <c r="D361" s="15">
        <v>4</v>
      </c>
      <c r="E361" s="16" t="s">
        <v>127</v>
      </c>
      <c r="F361" s="15" t="s">
        <v>287</v>
      </c>
      <c r="G361" s="17" t="s">
        <v>141</v>
      </c>
      <c r="H361" s="15">
        <v>0.3</v>
      </c>
      <c r="I361" s="15">
        <v>3</v>
      </c>
      <c r="J361" s="15" t="s">
        <v>140</v>
      </c>
      <c r="K361" s="43">
        <v>3</v>
      </c>
      <c r="L361" s="49" t="s">
        <v>477</v>
      </c>
      <c r="M361" s="18" t="s">
        <v>137</v>
      </c>
      <c r="N361" s="31"/>
      <c r="O361" s="30" t="s">
        <v>394</v>
      </c>
      <c r="P361" s="39"/>
      <c r="Q361" s="39"/>
    </row>
    <row r="362" spans="1:17" s="3" customFormat="1" x14ac:dyDescent="0.25">
      <c r="A362" s="4" t="s">
        <v>234</v>
      </c>
      <c r="B362" s="15">
        <f t="shared" si="22"/>
        <v>992</v>
      </c>
      <c r="C362" s="15" t="str">
        <f t="shared" si="10"/>
        <v>0x000003E0</v>
      </c>
      <c r="D362" s="15">
        <v>4</v>
      </c>
      <c r="E362" s="16" t="s">
        <v>128</v>
      </c>
      <c r="F362" s="15" t="s">
        <v>287</v>
      </c>
      <c r="G362" s="17" t="s">
        <v>142</v>
      </c>
      <c r="H362" s="15">
        <v>0.3</v>
      </c>
      <c r="I362" s="15">
        <v>3</v>
      </c>
      <c r="J362" s="15" t="s">
        <v>140</v>
      </c>
      <c r="K362" s="43">
        <v>3</v>
      </c>
      <c r="L362" s="49" t="s">
        <v>477</v>
      </c>
      <c r="M362" s="18" t="s">
        <v>138</v>
      </c>
      <c r="N362" s="31"/>
      <c r="O362" s="30" t="s">
        <v>394</v>
      </c>
      <c r="P362" s="39"/>
      <c r="Q362" s="39"/>
    </row>
    <row r="363" spans="1:17" s="3" customFormat="1" x14ac:dyDescent="0.25">
      <c r="A363" s="4" t="s">
        <v>234</v>
      </c>
      <c r="B363" s="15">
        <f t="shared" si="22"/>
        <v>996</v>
      </c>
      <c r="C363" s="15" t="str">
        <f t="shared" si="10"/>
        <v>0x000003E4</v>
      </c>
      <c r="D363" s="15">
        <v>4</v>
      </c>
      <c r="E363" s="16" t="s">
        <v>129</v>
      </c>
      <c r="F363" s="15" t="s">
        <v>287</v>
      </c>
      <c r="G363" s="17" t="s">
        <v>142</v>
      </c>
      <c r="H363" s="15">
        <v>0.3</v>
      </c>
      <c r="I363" s="15">
        <v>3</v>
      </c>
      <c r="J363" s="15" t="s">
        <v>140</v>
      </c>
      <c r="K363" s="43">
        <v>3</v>
      </c>
      <c r="L363" s="49" t="s">
        <v>477</v>
      </c>
      <c r="M363" s="18" t="s">
        <v>139</v>
      </c>
      <c r="N363" s="31"/>
      <c r="O363" s="30" t="s">
        <v>394</v>
      </c>
      <c r="P363" s="39"/>
      <c r="Q363" s="39"/>
    </row>
    <row r="364" spans="1:17" s="3" customFormat="1" ht="45" x14ac:dyDescent="0.25">
      <c r="A364" s="4" t="s">
        <v>234</v>
      </c>
      <c r="B364" s="15">
        <f t="shared" si="22"/>
        <v>1000</v>
      </c>
      <c r="C364" s="15" t="str">
        <f t="shared" si="10"/>
        <v>0x000003E8</v>
      </c>
      <c r="D364" s="15">
        <v>1</v>
      </c>
      <c r="E364" s="16" t="s">
        <v>159</v>
      </c>
      <c r="F364" s="15" t="s">
        <v>281</v>
      </c>
      <c r="G364" s="17" t="s">
        <v>0</v>
      </c>
      <c r="H364" s="15">
        <v>0</v>
      </c>
      <c r="I364" s="15">
        <v>1</v>
      </c>
      <c r="J364" s="15" t="str">
        <f>CONCATENATE("["&amp;Tableau1[[#This Row],[Min]]&amp;"; "&amp;Tableau1[[#This Row],[Max]]&amp;"]")</f>
        <v>[0; 1]</v>
      </c>
      <c r="K364" s="40">
        <v>0</v>
      </c>
      <c r="L364" s="46">
        <v>0</v>
      </c>
      <c r="M364" s="18" t="s">
        <v>189</v>
      </c>
      <c r="N364" s="31"/>
      <c r="O364" s="30" t="s">
        <v>394</v>
      </c>
      <c r="P364" s="39"/>
      <c r="Q364" s="39"/>
    </row>
    <row r="365" spans="1:17" s="3" customFormat="1" ht="45" x14ac:dyDescent="0.25">
      <c r="A365" s="4" t="s">
        <v>234</v>
      </c>
      <c r="B365" s="15">
        <f t="shared" si="22"/>
        <v>1001</v>
      </c>
      <c r="C365" s="15" t="str">
        <f t="shared" si="10"/>
        <v>0x000003E9</v>
      </c>
      <c r="D365" s="15">
        <v>1</v>
      </c>
      <c r="E365" s="16" t="s">
        <v>158</v>
      </c>
      <c r="F365" s="15" t="s">
        <v>281</v>
      </c>
      <c r="G365" s="17" t="s">
        <v>0</v>
      </c>
      <c r="H365" s="15">
        <v>0</v>
      </c>
      <c r="I365" s="15">
        <v>1</v>
      </c>
      <c r="J365" s="15" t="str">
        <f>CONCATENATE("["&amp;Tableau1[[#This Row],[Min]]&amp;"; "&amp;Tableau1[[#This Row],[Max]]&amp;"]")</f>
        <v>[0; 1]</v>
      </c>
      <c r="K365" s="40">
        <v>0</v>
      </c>
      <c r="L365" s="46">
        <v>0</v>
      </c>
      <c r="M365" s="18" t="s">
        <v>190</v>
      </c>
      <c r="N365" s="31"/>
      <c r="O365" s="30" t="s">
        <v>394</v>
      </c>
      <c r="P365" s="39"/>
      <c r="Q365" s="39"/>
    </row>
    <row r="366" spans="1:17" ht="30" x14ac:dyDescent="0.25">
      <c r="A366" s="23" t="s">
        <v>35</v>
      </c>
      <c r="B366" s="14">
        <f t="shared" si="22"/>
        <v>1002</v>
      </c>
      <c r="C366" s="14" t="str">
        <f t="shared" si="10"/>
        <v>0x000003EA</v>
      </c>
      <c r="D366" s="14">
        <v>6</v>
      </c>
      <c r="E366" s="19" t="s">
        <v>35</v>
      </c>
      <c r="F366" s="14" t="s">
        <v>281</v>
      </c>
      <c r="G366" s="14" t="s">
        <v>0</v>
      </c>
      <c r="H366" s="14" t="s">
        <v>296</v>
      </c>
      <c r="I366" s="14" t="s">
        <v>296</v>
      </c>
      <c r="J366" s="14" t="s">
        <v>297</v>
      </c>
      <c r="K366" s="52">
        <v>0</v>
      </c>
      <c r="L366" s="52">
        <v>0</v>
      </c>
      <c r="M366" s="20" t="s">
        <v>273</v>
      </c>
      <c r="N366" s="33"/>
      <c r="O366" s="32"/>
      <c r="P366" s="39"/>
      <c r="Q366" s="39"/>
    </row>
    <row r="367" spans="1:17" ht="45" x14ac:dyDescent="0.25">
      <c r="A367" s="4" t="s">
        <v>235</v>
      </c>
      <c r="B367" s="15">
        <f t="shared" si="22"/>
        <v>1008</v>
      </c>
      <c r="C367" s="15" t="str">
        <f>CONCATENATE("0x",DEC2HEX(B367,8))</f>
        <v>0x000003F0</v>
      </c>
      <c r="D367" s="15">
        <v>1</v>
      </c>
      <c r="E367" s="27" t="s">
        <v>334</v>
      </c>
      <c r="F367" s="15" t="s">
        <v>281</v>
      </c>
      <c r="G367" s="17" t="s">
        <v>0</v>
      </c>
      <c r="H367" s="15">
        <v>0</v>
      </c>
      <c r="I367" s="15">
        <v>1</v>
      </c>
      <c r="J367" s="15" t="str">
        <f>CONCATENATE("["&amp;Tableau1[[#This Row],[Min]]&amp;"; "&amp;Tableau1[[#This Row],[Max]]&amp;"]")</f>
        <v>[0; 1]</v>
      </c>
      <c r="K367" s="40">
        <v>0</v>
      </c>
      <c r="L367" s="46">
        <v>0</v>
      </c>
      <c r="M367" s="18" t="s">
        <v>157</v>
      </c>
      <c r="N367" s="31"/>
      <c r="O367" s="30" t="s">
        <v>395</v>
      </c>
      <c r="P367" s="39"/>
      <c r="Q367" s="39"/>
    </row>
    <row r="368" spans="1:17" ht="45" x14ac:dyDescent="0.25">
      <c r="A368" s="4" t="s">
        <v>235</v>
      </c>
      <c r="B368" s="15">
        <f t="shared" si="22"/>
        <v>1009</v>
      </c>
      <c r="C368" s="15" t="str">
        <f t="shared" si="2"/>
        <v>0x000003F1</v>
      </c>
      <c r="D368" s="15">
        <v>1</v>
      </c>
      <c r="E368" s="16" t="s">
        <v>6</v>
      </c>
      <c r="F368" s="15" t="s">
        <v>281</v>
      </c>
      <c r="G368" s="17" t="s">
        <v>0</v>
      </c>
      <c r="H368" s="15">
        <v>0</v>
      </c>
      <c r="I368" s="15">
        <v>1</v>
      </c>
      <c r="J368" s="15" t="str">
        <f>CONCATENATE("["&amp;Tableau1[[#This Row],[Min]]&amp;"; "&amp;Tableau1[[#This Row],[Max]]&amp;"]")</f>
        <v>[0; 1]</v>
      </c>
      <c r="K368" s="40">
        <v>0</v>
      </c>
      <c r="L368" s="46">
        <v>0</v>
      </c>
      <c r="M368" s="18" t="s">
        <v>163</v>
      </c>
      <c r="N368" s="31"/>
      <c r="O368" s="30" t="s">
        <v>395</v>
      </c>
      <c r="P368" s="39"/>
      <c r="Q368" s="39"/>
    </row>
    <row r="369" spans="1:17" ht="45" x14ac:dyDescent="0.25">
      <c r="A369" s="4" t="s">
        <v>235</v>
      </c>
      <c r="B369" s="15">
        <f t="shared" si="22"/>
        <v>1010</v>
      </c>
      <c r="C369" s="15" t="str">
        <f t="shared" si="2"/>
        <v>0x000003F2</v>
      </c>
      <c r="D369" s="15">
        <v>1</v>
      </c>
      <c r="E369" s="16" t="s">
        <v>7</v>
      </c>
      <c r="F369" s="15" t="s">
        <v>281</v>
      </c>
      <c r="G369" s="17" t="s">
        <v>0</v>
      </c>
      <c r="H369" s="15">
        <v>0</v>
      </c>
      <c r="I369" s="15">
        <v>1</v>
      </c>
      <c r="J369" s="15" t="str">
        <f>CONCATENATE("["&amp;Tableau1[[#This Row],[Min]]&amp;"; "&amp;Tableau1[[#This Row],[Max]]&amp;"]")</f>
        <v>[0; 1]</v>
      </c>
      <c r="K369" s="40">
        <v>0</v>
      </c>
      <c r="L369" s="46">
        <v>0</v>
      </c>
      <c r="M369" s="18" t="s">
        <v>191</v>
      </c>
      <c r="N369" s="31"/>
      <c r="O369" s="30" t="s">
        <v>395</v>
      </c>
      <c r="P369" s="39"/>
      <c r="Q369" s="39"/>
    </row>
    <row r="370" spans="1:17" ht="60" x14ac:dyDescent="0.25">
      <c r="A370" s="4" t="s">
        <v>235</v>
      </c>
      <c r="B370" s="15">
        <f t="shared" si="22"/>
        <v>1011</v>
      </c>
      <c r="C370" s="15" t="str">
        <f t="shared" si="2"/>
        <v>0x000003F3</v>
      </c>
      <c r="D370" s="15">
        <v>1</v>
      </c>
      <c r="E370" s="16" t="s">
        <v>8</v>
      </c>
      <c r="F370" s="15" t="s">
        <v>281</v>
      </c>
      <c r="G370" s="17" t="s">
        <v>0</v>
      </c>
      <c r="H370" s="15">
        <v>0</v>
      </c>
      <c r="I370" s="15">
        <v>1</v>
      </c>
      <c r="J370" s="15" t="str">
        <f>CONCATENATE("["&amp;Tableau1[[#This Row],[Min]]&amp;"; "&amp;Tableau1[[#This Row],[Max]]&amp;"]")</f>
        <v>[0; 1]</v>
      </c>
      <c r="K370" s="40">
        <v>0</v>
      </c>
      <c r="L370" s="46">
        <v>0</v>
      </c>
      <c r="M370" s="18" t="s">
        <v>162</v>
      </c>
      <c r="N370" s="31"/>
      <c r="O370" s="30" t="s">
        <v>395</v>
      </c>
      <c r="P370" s="39"/>
      <c r="Q370" s="39"/>
    </row>
    <row r="371" spans="1:17" ht="60" x14ac:dyDescent="0.25">
      <c r="A371" s="4" t="s">
        <v>235</v>
      </c>
      <c r="B371" s="15">
        <f t="shared" si="22"/>
        <v>1012</v>
      </c>
      <c r="C371" s="15" t="str">
        <f t="shared" si="2"/>
        <v>0x000003F4</v>
      </c>
      <c r="D371" s="15">
        <v>1</v>
      </c>
      <c r="E371" s="16" t="s">
        <v>9</v>
      </c>
      <c r="F371" s="15" t="s">
        <v>281</v>
      </c>
      <c r="G371" s="17" t="s">
        <v>0</v>
      </c>
      <c r="H371" s="15">
        <v>0</v>
      </c>
      <c r="I371" s="15">
        <v>1</v>
      </c>
      <c r="J371" s="15" t="str">
        <f>CONCATENATE("["&amp;Tableau1[[#This Row],[Min]]&amp;"; "&amp;Tableau1[[#This Row],[Max]]&amp;"]")</f>
        <v>[0; 1]</v>
      </c>
      <c r="K371" s="40">
        <v>0</v>
      </c>
      <c r="L371" s="46">
        <v>0</v>
      </c>
      <c r="M371" s="18" t="s">
        <v>161</v>
      </c>
      <c r="N371" s="31"/>
      <c r="O371" s="30" t="s">
        <v>395</v>
      </c>
      <c r="P371" s="39"/>
      <c r="Q371" s="39"/>
    </row>
    <row r="372" spans="1:17" ht="45" x14ac:dyDescent="0.25">
      <c r="A372" s="4" t="s">
        <v>235</v>
      </c>
      <c r="B372" s="15">
        <f t="shared" si="22"/>
        <v>1013</v>
      </c>
      <c r="C372" s="15" t="str">
        <f t="shared" si="2"/>
        <v>0x000003F5</v>
      </c>
      <c r="D372" s="15">
        <v>1</v>
      </c>
      <c r="E372" s="16" t="s">
        <v>10</v>
      </c>
      <c r="F372" s="15" t="s">
        <v>281</v>
      </c>
      <c r="G372" s="17" t="s">
        <v>0</v>
      </c>
      <c r="H372" s="15">
        <v>0</v>
      </c>
      <c r="I372" s="15">
        <v>1</v>
      </c>
      <c r="J372" s="15" t="str">
        <f>CONCATENATE("["&amp;Tableau1[[#This Row],[Min]]&amp;"; "&amp;Tableau1[[#This Row],[Max]]&amp;"]")</f>
        <v>[0; 1]</v>
      </c>
      <c r="K372" s="40">
        <v>0</v>
      </c>
      <c r="L372" s="46">
        <v>0</v>
      </c>
      <c r="M372" s="18" t="s">
        <v>160</v>
      </c>
      <c r="N372" s="31"/>
      <c r="O372" s="30" t="s">
        <v>396</v>
      </c>
      <c r="P372" s="39"/>
      <c r="Q372" s="39"/>
    </row>
    <row r="373" spans="1:17" x14ac:dyDescent="0.25">
      <c r="A373" s="23" t="s">
        <v>235</v>
      </c>
      <c r="B373" s="14">
        <f t="shared" si="22"/>
        <v>1014</v>
      </c>
      <c r="C373" s="14" t="str">
        <f t="shared" si="2"/>
        <v>0x000003F6</v>
      </c>
      <c r="D373" s="14">
        <v>2</v>
      </c>
      <c r="E373" s="19" t="s">
        <v>35</v>
      </c>
      <c r="F373" s="14" t="s">
        <v>281</v>
      </c>
      <c r="G373" s="14" t="s">
        <v>0</v>
      </c>
      <c r="H373" s="14" t="s">
        <v>296</v>
      </c>
      <c r="I373" s="14" t="s">
        <v>296</v>
      </c>
      <c r="J373" s="14" t="s">
        <v>297</v>
      </c>
      <c r="K373" s="52">
        <v>0</v>
      </c>
      <c r="L373" s="52">
        <v>0</v>
      </c>
      <c r="M373" s="20" t="s">
        <v>250</v>
      </c>
      <c r="N373" s="33"/>
      <c r="O373" s="32" t="s">
        <v>0</v>
      </c>
      <c r="P373" s="39"/>
      <c r="Q373" s="39"/>
    </row>
    <row r="374" spans="1:17" s="3" customFormat="1" x14ac:dyDescent="0.25">
      <c r="A374" s="4" t="s">
        <v>235</v>
      </c>
      <c r="B374" s="15">
        <f t="shared" si="22"/>
        <v>1016</v>
      </c>
      <c r="C374" s="15" t="str">
        <f t="shared" si="2"/>
        <v>0x000003F8</v>
      </c>
      <c r="D374" s="15">
        <v>1</v>
      </c>
      <c r="E374" s="16" t="s">
        <v>11</v>
      </c>
      <c r="F374" s="15" t="s">
        <v>281</v>
      </c>
      <c r="G374" s="17" t="s">
        <v>0</v>
      </c>
      <c r="H374" s="15">
        <v>5</v>
      </c>
      <c r="I374" s="15">
        <v>100</v>
      </c>
      <c r="J374" s="15" t="str">
        <f>CONCATENATE("["&amp;Tableau1[[#This Row],[Min]]&amp;"; "&amp;Tableau1[[#This Row],[Max]]&amp;"]")</f>
        <v>[5; 100]</v>
      </c>
      <c r="K374" s="40">
        <v>65</v>
      </c>
      <c r="L374" s="46">
        <v>65</v>
      </c>
      <c r="M374" s="18" t="s">
        <v>52</v>
      </c>
      <c r="N374" s="31"/>
      <c r="O374" s="30" t="s">
        <v>397</v>
      </c>
      <c r="P374" s="39"/>
      <c r="Q374" s="39"/>
    </row>
    <row r="375" spans="1:17" s="3" customFormat="1" x14ac:dyDescent="0.25">
      <c r="A375" s="4" t="s">
        <v>235</v>
      </c>
      <c r="B375" s="15">
        <f t="shared" si="22"/>
        <v>1017</v>
      </c>
      <c r="C375" s="15" t="str">
        <f t="shared" si="2"/>
        <v>0x000003F9</v>
      </c>
      <c r="D375" s="15">
        <v>1</v>
      </c>
      <c r="E375" s="16" t="s">
        <v>12</v>
      </c>
      <c r="F375" s="15" t="s">
        <v>281</v>
      </c>
      <c r="G375" s="17" t="s">
        <v>0</v>
      </c>
      <c r="H375" s="15">
        <v>5</v>
      </c>
      <c r="I375" s="15">
        <v>100</v>
      </c>
      <c r="J375" s="15" t="str">
        <f>CONCATENATE("["&amp;Tableau1[[#This Row],[Min]]&amp;"; "&amp;Tableau1[[#This Row],[Max]]&amp;"]")</f>
        <v>[5; 100]</v>
      </c>
      <c r="K375" s="40">
        <v>65</v>
      </c>
      <c r="L375" s="46">
        <v>65</v>
      </c>
      <c r="M375" s="18" t="s">
        <v>51</v>
      </c>
      <c r="N375" s="31"/>
      <c r="O375" s="30" t="s">
        <v>397</v>
      </c>
      <c r="P375" s="39"/>
      <c r="Q375" s="39"/>
    </row>
    <row r="376" spans="1:17" s="3" customFormat="1" x14ac:dyDescent="0.25">
      <c r="A376" s="4" t="s">
        <v>235</v>
      </c>
      <c r="B376" s="15">
        <f t="shared" si="22"/>
        <v>1018</v>
      </c>
      <c r="C376" s="15" t="str">
        <f t="shared" si="2"/>
        <v>0x000003FA</v>
      </c>
      <c r="D376" s="15">
        <v>1</v>
      </c>
      <c r="E376" s="16" t="s">
        <v>13</v>
      </c>
      <c r="F376" s="15" t="s">
        <v>281</v>
      </c>
      <c r="G376" s="17" t="s">
        <v>0</v>
      </c>
      <c r="H376" s="15">
        <v>5</v>
      </c>
      <c r="I376" s="15">
        <v>100</v>
      </c>
      <c r="J376" s="15" t="str">
        <f>CONCATENATE("["&amp;Tableau1[[#This Row],[Min]]&amp;"; "&amp;Tableau1[[#This Row],[Max]]&amp;"]")</f>
        <v>[5; 100]</v>
      </c>
      <c r="K376" s="40">
        <v>65</v>
      </c>
      <c r="L376" s="46">
        <v>65</v>
      </c>
      <c r="M376" s="18" t="s">
        <v>50</v>
      </c>
      <c r="N376" s="31"/>
      <c r="O376" s="30" t="s">
        <v>398</v>
      </c>
      <c r="P376" s="39"/>
      <c r="Q376" s="39"/>
    </row>
    <row r="377" spans="1:17" s="3" customFormat="1" x14ac:dyDescent="0.25">
      <c r="A377" s="4" t="s">
        <v>235</v>
      </c>
      <c r="B377" s="15">
        <f t="shared" si="22"/>
        <v>1019</v>
      </c>
      <c r="C377" s="15" t="str">
        <f t="shared" si="2"/>
        <v>0x000003FB</v>
      </c>
      <c r="D377" s="15">
        <v>1</v>
      </c>
      <c r="E377" s="16" t="s">
        <v>14</v>
      </c>
      <c r="F377" s="15" t="s">
        <v>281</v>
      </c>
      <c r="G377" s="17" t="s">
        <v>0</v>
      </c>
      <c r="H377" s="15">
        <v>5</v>
      </c>
      <c r="I377" s="15">
        <v>100</v>
      </c>
      <c r="J377" s="15" t="str">
        <f>CONCATENATE("["&amp;Tableau1[[#This Row],[Min]]&amp;"; "&amp;Tableau1[[#This Row],[Max]]&amp;"]")</f>
        <v>[5; 100]</v>
      </c>
      <c r="K377" s="40">
        <v>65</v>
      </c>
      <c r="L377" s="46">
        <v>65</v>
      </c>
      <c r="M377" s="18" t="s">
        <v>53</v>
      </c>
      <c r="N377" s="31"/>
      <c r="O377" s="30" t="s">
        <v>398</v>
      </c>
      <c r="P377" s="39"/>
      <c r="Q377" s="39"/>
    </row>
    <row r="378" spans="1:17" s="3" customFormat="1" x14ac:dyDescent="0.25">
      <c r="A378" s="4" t="s">
        <v>235</v>
      </c>
      <c r="B378" s="15">
        <f t="shared" si="22"/>
        <v>1020</v>
      </c>
      <c r="C378" s="15" t="str">
        <f t="shared" si="2"/>
        <v>0x000003FC</v>
      </c>
      <c r="D378" s="15">
        <v>1</v>
      </c>
      <c r="E378" s="16" t="s">
        <v>15</v>
      </c>
      <c r="F378" s="15" t="s">
        <v>281</v>
      </c>
      <c r="G378" s="17" t="s">
        <v>0</v>
      </c>
      <c r="H378" s="15">
        <v>1</v>
      </c>
      <c r="I378" s="15">
        <v>5</v>
      </c>
      <c r="J378" s="15" t="str">
        <f>CONCATENATE("["&amp;Tableau1[[#This Row],[Min]]&amp;"; "&amp;Tableau1[[#This Row],[Max]]&amp;"]")</f>
        <v>[1; 5]</v>
      </c>
      <c r="K378" s="40">
        <v>1</v>
      </c>
      <c r="L378" s="46">
        <v>1</v>
      </c>
      <c r="M378" s="18" t="s">
        <v>64</v>
      </c>
      <c r="N378" s="31"/>
      <c r="O378" s="30" t="s">
        <v>399</v>
      </c>
      <c r="P378" s="39"/>
      <c r="Q378" s="39"/>
    </row>
    <row r="379" spans="1:17" s="3" customFormat="1" ht="45" x14ac:dyDescent="0.25">
      <c r="A379" s="4" t="s">
        <v>235</v>
      </c>
      <c r="B379" s="15">
        <f t="shared" si="22"/>
        <v>1021</v>
      </c>
      <c r="C379" s="15" t="str">
        <f t="shared" si="2"/>
        <v>0x000003FD</v>
      </c>
      <c r="D379" s="15">
        <v>1</v>
      </c>
      <c r="E379" s="16" t="s">
        <v>16</v>
      </c>
      <c r="F379" s="15" t="s">
        <v>281</v>
      </c>
      <c r="G379" s="17" t="s">
        <v>0</v>
      </c>
      <c r="H379" s="15">
        <v>1</v>
      </c>
      <c r="I379" s="15">
        <v>2</v>
      </c>
      <c r="J379" s="15" t="str">
        <f>CONCATENATE("["&amp;Tableau1[[#This Row],[Min]]&amp;"; "&amp;Tableau1[[#This Row],[Max]]&amp;"]")</f>
        <v>[1; 2]</v>
      </c>
      <c r="K379" s="40">
        <v>1</v>
      </c>
      <c r="L379" s="46">
        <v>1</v>
      </c>
      <c r="M379" s="18" t="s">
        <v>58</v>
      </c>
      <c r="N379" s="31"/>
      <c r="O379" s="30" t="s">
        <v>400</v>
      </c>
      <c r="P379" s="39"/>
      <c r="Q379" s="39"/>
    </row>
    <row r="380" spans="1:17" x14ac:dyDescent="0.25">
      <c r="A380" s="23" t="s">
        <v>235</v>
      </c>
      <c r="B380" s="14">
        <f t="shared" si="22"/>
        <v>1022</v>
      </c>
      <c r="C380" s="14" t="str">
        <f>CONCATENATE("0x",DEC2HEX(B380,8))</f>
        <v>0x000003FE</v>
      </c>
      <c r="D380" s="14">
        <v>2</v>
      </c>
      <c r="E380" s="19" t="s">
        <v>35</v>
      </c>
      <c r="F380" s="14" t="s">
        <v>281</v>
      </c>
      <c r="G380" s="14" t="s">
        <v>0</v>
      </c>
      <c r="H380" s="14" t="s">
        <v>296</v>
      </c>
      <c r="I380" s="14" t="s">
        <v>296</v>
      </c>
      <c r="J380" s="14" t="s">
        <v>297</v>
      </c>
      <c r="K380" s="52">
        <v>0</v>
      </c>
      <c r="L380" s="52">
        <v>0</v>
      </c>
      <c r="M380" s="20" t="s">
        <v>250</v>
      </c>
      <c r="N380" s="33"/>
      <c r="O380" s="32" t="s">
        <v>0</v>
      </c>
      <c r="P380" s="39"/>
      <c r="Q380" s="39"/>
    </row>
    <row r="381" spans="1:17" s="3" customFormat="1" x14ac:dyDescent="0.25">
      <c r="A381" s="4" t="s">
        <v>235</v>
      </c>
      <c r="B381" s="15">
        <f t="shared" si="22"/>
        <v>1024</v>
      </c>
      <c r="C381" s="15" t="str">
        <f t="shared" si="2"/>
        <v>0x00000400</v>
      </c>
      <c r="D381" s="15">
        <v>1</v>
      </c>
      <c r="E381" s="16" t="s">
        <v>17</v>
      </c>
      <c r="F381" s="15" t="s">
        <v>281</v>
      </c>
      <c r="G381" s="17" t="s">
        <v>0</v>
      </c>
      <c r="H381" s="15">
        <v>5</v>
      </c>
      <c r="I381" s="15">
        <v>100</v>
      </c>
      <c r="J381" s="15" t="str">
        <f>CONCATENATE("["&amp;Tableau1[[#This Row],[Min]]&amp;"; "&amp;Tableau1[[#This Row],[Max]]&amp;"]")</f>
        <v>[5; 100]</v>
      </c>
      <c r="K381" s="40">
        <v>17</v>
      </c>
      <c r="L381" s="46">
        <v>17</v>
      </c>
      <c r="M381" s="18" t="s">
        <v>46</v>
      </c>
      <c r="N381" s="31"/>
      <c r="O381" s="30" t="s">
        <v>401</v>
      </c>
      <c r="P381" s="39"/>
      <c r="Q381" s="39"/>
    </row>
    <row r="382" spans="1:17" s="3" customFormat="1" x14ac:dyDescent="0.25">
      <c r="A382" s="4" t="s">
        <v>235</v>
      </c>
      <c r="B382" s="15">
        <f t="shared" si="22"/>
        <v>1025</v>
      </c>
      <c r="C382" s="15" t="str">
        <f>CONCATENATE("0x",DEC2HEX(B382,8))</f>
        <v>0x00000401</v>
      </c>
      <c r="D382" s="15">
        <v>1</v>
      </c>
      <c r="E382" s="16" t="s">
        <v>18</v>
      </c>
      <c r="F382" s="15" t="s">
        <v>281</v>
      </c>
      <c r="G382" s="17" t="s">
        <v>0</v>
      </c>
      <c r="H382" s="15">
        <v>5</v>
      </c>
      <c r="I382" s="15">
        <v>100</v>
      </c>
      <c r="J382" s="15" t="str">
        <f>CONCATENATE("["&amp;Tableau1[[#This Row],[Min]]&amp;"; "&amp;Tableau1[[#This Row],[Max]]&amp;"]")</f>
        <v>[5; 100]</v>
      </c>
      <c r="K382" s="40">
        <v>17</v>
      </c>
      <c r="L382" s="46">
        <v>17</v>
      </c>
      <c r="M382" s="18" t="s">
        <v>47</v>
      </c>
      <c r="N382" s="31"/>
      <c r="O382" s="30" t="s">
        <v>401</v>
      </c>
      <c r="P382" s="39"/>
      <c r="Q382" s="39"/>
    </row>
    <row r="383" spans="1:17" s="3" customFormat="1" x14ac:dyDescent="0.25">
      <c r="A383" s="4" t="s">
        <v>235</v>
      </c>
      <c r="B383" s="15">
        <f t="shared" si="22"/>
        <v>1026</v>
      </c>
      <c r="C383" s="15" t="str">
        <f t="shared" ref="C383:C413" si="23">CONCATENATE("0x",DEC2HEX(B383,8))</f>
        <v>0x00000402</v>
      </c>
      <c r="D383" s="15">
        <v>1</v>
      </c>
      <c r="E383" s="16" t="s">
        <v>19</v>
      </c>
      <c r="F383" s="15" t="s">
        <v>281</v>
      </c>
      <c r="G383" s="17" t="s">
        <v>0</v>
      </c>
      <c r="H383" s="15">
        <v>5</v>
      </c>
      <c r="I383" s="15">
        <v>100</v>
      </c>
      <c r="J383" s="15" t="str">
        <f>CONCATENATE("["&amp;Tableau1[[#This Row],[Min]]&amp;"; "&amp;Tableau1[[#This Row],[Max]]&amp;"]")</f>
        <v>[5; 100]</v>
      </c>
      <c r="K383" s="40">
        <v>17</v>
      </c>
      <c r="L383" s="46">
        <v>17</v>
      </c>
      <c r="M383" s="18" t="s">
        <v>42</v>
      </c>
      <c r="N383" s="31"/>
      <c r="O383" s="30" t="s">
        <v>402</v>
      </c>
      <c r="P383" s="39"/>
      <c r="Q383" s="39"/>
    </row>
    <row r="384" spans="1:17" s="3" customFormat="1" x14ac:dyDescent="0.25">
      <c r="A384" s="4" t="s">
        <v>235</v>
      </c>
      <c r="B384" s="15">
        <f t="shared" si="22"/>
        <v>1027</v>
      </c>
      <c r="C384" s="15" t="str">
        <f t="shared" si="23"/>
        <v>0x00000403</v>
      </c>
      <c r="D384" s="15">
        <v>1</v>
      </c>
      <c r="E384" s="16" t="s">
        <v>20</v>
      </c>
      <c r="F384" s="15" t="s">
        <v>281</v>
      </c>
      <c r="G384" s="17" t="s">
        <v>0</v>
      </c>
      <c r="H384" s="15">
        <v>5</v>
      </c>
      <c r="I384" s="15">
        <v>100</v>
      </c>
      <c r="J384" s="15" t="str">
        <f>CONCATENATE("["&amp;Tableau1[[#This Row],[Min]]&amp;"; "&amp;Tableau1[[#This Row],[Max]]&amp;"]")</f>
        <v>[5; 100]</v>
      </c>
      <c r="K384" s="40">
        <v>17</v>
      </c>
      <c r="L384" s="46">
        <v>17</v>
      </c>
      <c r="M384" s="18" t="s">
        <v>43</v>
      </c>
      <c r="N384" s="31"/>
      <c r="O384" s="30" t="s">
        <v>402</v>
      </c>
      <c r="P384" s="39"/>
      <c r="Q384" s="39"/>
    </row>
    <row r="385" spans="1:17" s="3" customFormat="1" x14ac:dyDescent="0.25">
      <c r="A385" s="4" t="s">
        <v>235</v>
      </c>
      <c r="B385" s="15">
        <f t="shared" si="22"/>
        <v>1028</v>
      </c>
      <c r="C385" s="15" t="str">
        <f t="shared" si="23"/>
        <v>0x00000404</v>
      </c>
      <c r="D385" s="15">
        <v>1</v>
      </c>
      <c r="E385" s="16" t="s">
        <v>21</v>
      </c>
      <c r="F385" s="15" t="s">
        <v>281</v>
      </c>
      <c r="G385" s="17" t="s">
        <v>0</v>
      </c>
      <c r="H385" s="15">
        <v>1</v>
      </c>
      <c r="I385" s="15">
        <v>5</v>
      </c>
      <c r="J385" s="15" t="str">
        <f>CONCATENATE("["&amp;Tableau1[[#This Row],[Min]]&amp;"; "&amp;Tableau1[[#This Row],[Max]]&amp;"]")</f>
        <v>[1; 5]</v>
      </c>
      <c r="K385" s="40">
        <v>1</v>
      </c>
      <c r="L385" s="46">
        <v>1</v>
      </c>
      <c r="M385" s="18" t="s">
        <v>63</v>
      </c>
      <c r="N385" s="31"/>
      <c r="O385" s="30" t="s">
        <v>403</v>
      </c>
      <c r="P385" s="39"/>
      <c r="Q385" s="39"/>
    </row>
    <row r="386" spans="1:17" x14ac:dyDescent="0.25">
      <c r="A386" s="23" t="s">
        <v>235</v>
      </c>
      <c r="B386" s="14">
        <f t="shared" si="22"/>
        <v>1029</v>
      </c>
      <c r="C386" s="14" t="str">
        <f t="shared" si="23"/>
        <v>0x00000405</v>
      </c>
      <c r="D386" s="14">
        <v>3</v>
      </c>
      <c r="E386" s="19" t="s">
        <v>35</v>
      </c>
      <c r="F386" s="14" t="s">
        <v>281</v>
      </c>
      <c r="G386" s="14" t="s">
        <v>0</v>
      </c>
      <c r="H386" s="14" t="s">
        <v>296</v>
      </c>
      <c r="I386" s="14" t="s">
        <v>296</v>
      </c>
      <c r="J386" s="14" t="s">
        <v>297</v>
      </c>
      <c r="K386" s="52">
        <v>0</v>
      </c>
      <c r="L386" s="52">
        <v>0</v>
      </c>
      <c r="M386" s="20" t="s">
        <v>250</v>
      </c>
      <c r="N386" s="33"/>
      <c r="O386" s="32" t="s">
        <v>0</v>
      </c>
      <c r="P386" s="39"/>
      <c r="Q386" s="39"/>
    </row>
    <row r="387" spans="1:17" x14ac:dyDescent="0.25">
      <c r="A387" s="4" t="s">
        <v>235</v>
      </c>
      <c r="B387" s="15">
        <f t="shared" si="22"/>
        <v>1032</v>
      </c>
      <c r="C387" s="15" t="str">
        <f t="shared" si="23"/>
        <v>0x00000408</v>
      </c>
      <c r="D387" s="15">
        <v>1</v>
      </c>
      <c r="E387" s="7" t="s">
        <v>290</v>
      </c>
      <c r="F387" s="15" t="s">
        <v>281</v>
      </c>
      <c r="G387" s="15" t="s">
        <v>40</v>
      </c>
      <c r="H387" s="15">
        <v>70</v>
      </c>
      <c r="I387" s="15">
        <v>100</v>
      </c>
      <c r="J387" s="15" t="str">
        <f>CONCATENATE("["&amp;Tableau1[[#This Row],[Min]]&amp;"; "&amp;Tableau1[[#This Row],[Max]]&amp;"]")</f>
        <v>[70; 100]</v>
      </c>
      <c r="K387" s="41">
        <v>70</v>
      </c>
      <c r="L387" s="47">
        <v>70</v>
      </c>
      <c r="M387" s="18" t="s">
        <v>237</v>
      </c>
      <c r="N387" s="31"/>
      <c r="O387" s="30" t="s">
        <v>404</v>
      </c>
      <c r="P387" s="39"/>
      <c r="Q387" s="39"/>
    </row>
    <row r="388" spans="1:17" x14ac:dyDescent="0.25">
      <c r="A388" s="4" t="s">
        <v>235</v>
      </c>
      <c r="B388" s="15">
        <f t="shared" si="22"/>
        <v>1033</v>
      </c>
      <c r="C388" s="15" t="str">
        <f t="shared" si="23"/>
        <v>0x00000409</v>
      </c>
      <c r="D388" s="15">
        <v>1</v>
      </c>
      <c r="E388" s="7" t="s">
        <v>291</v>
      </c>
      <c r="F388" s="15" t="s">
        <v>281</v>
      </c>
      <c r="G388" s="15" t="s">
        <v>40</v>
      </c>
      <c r="H388" s="15">
        <v>70</v>
      </c>
      <c r="I388" s="15">
        <v>100</v>
      </c>
      <c r="J388" s="15" t="str">
        <f>CONCATENATE("["&amp;Tableau1[[#This Row],[Min]]&amp;"; "&amp;Tableau1[[#This Row],[Max]]&amp;"]")</f>
        <v>[70; 100]</v>
      </c>
      <c r="K388" s="41">
        <v>70</v>
      </c>
      <c r="L388" s="47">
        <v>70</v>
      </c>
      <c r="M388" s="18" t="s">
        <v>238</v>
      </c>
      <c r="N388" s="31"/>
      <c r="O388" s="30" t="s">
        <v>404</v>
      </c>
      <c r="P388" s="39"/>
      <c r="Q388" s="39"/>
    </row>
    <row r="389" spans="1:17" x14ac:dyDescent="0.25">
      <c r="A389" s="4" t="s">
        <v>235</v>
      </c>
      <c r="B389" s="15">
        <f t="shared" si="22"/>
        <v>1034</v>
      </c>
      <c r="C389" s="15" t="str">
        <f t="shared" si="23"/>
        <v>0x0000040A</v>
      </c>
      <c r="D389" s="15">
        <v>1</v>
      </c>
      <c r="E389" s="7" t="s">
        <v>292</v>
      </c>
      <c r="F389" s="15" t="s">
        <v>281</v>
      </c>
      <c r="G389" s="15" t="s">
        <v>40</v>
      </c>
      <c r="H389" s="15">
        <v>70</v>
      </c>
      <c r="I389" s="15">
        <v>100</v>
      </c>
      <c r="J389" s="15" t="str">
        <f>CONCATENATE("["&amp;Tableau1[[#This Row],[Min]]&amp;"; "&amp;Tableau1[[#This Row],[Max]]&amp;"]")</f>
        <v>[70; 100]</v>
      </c>
      <c r="K389" s="41">
        <v>70</v>
      </c>
      <c r="L389" s="47">
        <v>70</v>
      </c>
      <c r="M389" s="18" t="s">
        <v>239</v>
      </c>
      <c r="N389" s="31"/>
      <c r="O389" s="30" t="s">
        <v>404</v>
      </c>
      <c r="P389" s="39"/>
      <c r="Q389" s="39"/>
    </row>
    <row r="390" spans="1:17" x14ac:dyDescent="0.25">
      <c r="A390" s="4" t="s">
        <v>235</v>
      </c>
      <c r="B390" s="15">
        <f t="shared" si="22"/>
        <v>1035</v>
      </c>
      <c r="C390" s="15" t="str">
        <f t="shared" si="23"/>
        <v>0x0000040B</v>
      </c>
      <c r="D390" s="15">
        <v>1</v>
      </c>
      <c r="E390" s="7" t="s">
        <v>293</v>
      </c>
      <c r="F390" s="15" t="s">
        <v>281</v>
      </c>
      <c r="G390" s="15" t="s">
        <v>40</v>
      </c>
      <c r="H390" s="15">
        <v>70</v>
      </c>
      <c r="I390" s="15">
        <v>100</v>
      </c>
      <c r="J390" s="15" t="str">
        <f>CONCATENATE("["&amp;Tableau1[[#This Row],[Min]]&amp;"; "&amp;Tableau1[[#This Row],[Max]]&amp;"]")</f>
        <v>[70; 100]</v>
      </c>
      <c r="K390" s="41">
        <v>70</v>
      </c>
      <c r="L390" s="47">
        <v>70</v>
      </c>
      <c r="M390" s="18" t="s">
        <v>240</v>
      </c>
      <c r="N390" s="31"/>
      <c r="O390" s="30" t="s">
        <v>404</v>
      </c>
      <c r="P390" s="39"/>
      <c r="Q390" s="39"/>
    </row>
    <row r="391" spans="1:17" x14ac:dyDescent="0.25">
      <c r="A391" s="4" t="s">
        <v>235</v>
      </c>
      <c r="B391" s="15">
        <f t="shared" si="22"/>
        <v>1036</v>
      </c>
      <c r="C391" s="15" t="str">
        <f t="shared" si="23"/>
        <v>0x0000040C</v>
      </c>
      <c r="D391" s="15">
        <v>1</v>
      </c>
      <c r="E391" s="7" t="s">
        <v>294</v>
      </c>
      <c r="F391" s="15" t="s">
        <v>281</v>
      </c>
      <c r="G391" s="15" t="s">
        <v>40</v>
      </c>
      <c r="H391" s="15">
        <v>70</v>
      </c>
      <c r="I391" s="15">
        <v>100</v>
      </c>
      <c r="J391" s="15" t="str">
        <f>CONCATENATE("["&amp;Tableau1[[#This Row],[Min]]&amp;"; "&amp;Tableau1[[#This Row],[Max]]&amp;"]")</f>
        <v>[70; 100]</v>
      </c>
      <c r="K391" s="41">
        <v>70</v>
      </c>
      <c r="L391" s="47">
        <v>70</v>
      </c>
      <c r="M391" s="18" t="s">
        <v>242</v>
      </c>
      <c r="N391" s="31"/>
      <c r="O391" s="30" t="s">
        <v>404</v>
      </c>
      <c r="P391" s="39"/>
      <c r="Q391" s="39"/>
    </row>
    <row r="392" spans="1:17" x14ac:dyDescent="0.25">
      <c r="A392" s="4" t="s">
        <v>235</v>
      </c>
      <c r="B392" s="15">
        <f t="shared" si="22"/>
        <v>1037</v>
      </c>
      <c r="C392" s="15" t="str">
        <f t="shared" si="23"/>
        <v>0x0000040D</v>
      </c>
      <c r="D392" s="15">
        <v>1</v>
      </c>
      <c r="E392" s="7" t="s">
        <v>295</v>
      </c>
      <c r="F392" s="15" t="s">
        <v>281</v>
      </c>
      <c r="G392" s="15" t="s">
        <v>40</v>
      </c>
      <c r="H392" s="15">
        <v>70</v>
      </c>
      <c r="I392" s="15">
        <v>100</v>
      </c>
      <c r="J392" s="15" t="str">
        <f>CONCATENATE("["&amp;Tableau1[[#This Row],[Min]]&amp;"; "&amp;Tableau1[[#This Row],[Max]]&amp;"]")</f>
        <v>[70; 100]</v>
      </c>
      <c r="K392" s="41">
        <v>70</v>
      </c>
      <c r="L392" s="47">
        <v>70</v>
      </c>
      <c r="M392" s="18" t="s">
        <v>243</v>
      </c>
      <c r="N392" s="31"/>
      <c r="O392" s="30" t="s">
        <v>404</v>
      </c>
      <c r="P392" s="39"/>
      <c r="Q392" s="39"/>
    </row>
    <row r="393" spans="1:17" x14ac:dyDescent="0.25">
      <c r="A393" s="23" t="s">
        <v>235</v>
      </c>
      <c r="B393" s="14">
        <f>B392+D392</f>
        <v>1038</v>
      </c>
      <c r="C393" s="14" t="str">
        <f t="shared" si="23"/>
        <v>0x0000040E</v>
      </c>
      <c r="D393" s="14">
        <v>2</v>
      </c>
      <c r="E393" s="19" t="s">
        <v>35</v>
      </c>
      <c r="F393" s="14" t="s">
        <v>281</v>
      </c>
      <c r="G393" s="14" t="s">
        <v>0</v>
      </c>
      <c r="H393" s="14" t="s">
        <v>296</v>
      </c>
      <c r="I393" s="14" t="s">
        <v>296</v>
      </c>
      <c r="J393" s="14" t="s">
        <v>297</v>
      </c>
      <c r="K393" s="52">
        <v>0</v>
      </c>
      <c r="L393" s="52">
        <v>0</v>
      </c>
      <c r="M393" s="20" t="s">
        <v>250</v>
      </c>
      <c r="N393" s="33"/>
      <c r="O393" s="32" t="s">
        <v>0</v>
      </c>
      <c r="P393" s="39"/>
      <c r="Q393" s="39"/>
    </row>
    <row r="394" spans="1:17" x14ac:dyDescent="0.25">
      <c r="A394" s="4" t="s">
        <v>235</v>
      </c>
      <c r="B394" s="15">
        <f t="shared" si="22"/>
        <v>1040</v>
      </c>
      <c r="C394" s="15" t="str">
        <f t="shared" si="23"/>
        <v>0x00000410</v>
      </c>
      <c r="D394" s="15">
        <v>1</v>
      </c>
      <c r="E394" s="28" t="s">
        <v>335</v>
      </c>
      <c r="F394" s="15" t="s">
        <v>281</v>
      </c>
      <c r="G394" s="15" t="s">
        <v>41</v>
      </c>
      <c r="H394" s="15">
        <v>110</v>
      </c>
      <c r="I394" s="15">
        <v>120</v>
      </c>
      <c r="J394" s="15" t="str">
        <f>CONCATENATE("["&amp;Tableau1[[#This Row],[Min]]&amp;"; "&amp;Tableau1[[#This Row],[Max]]&amp;"]")</f>
        <v>[110; 120]</v>
      </c>
      <c r="K394" s="41">
        <v>120</v>
      </c>
      <c r="L394" s="47">
        <v>120</v>
      </c>
      <c r="M394" s="18" t="s">
        <v>241</v>
      </c>
      <c r="N394" s="31"/>
      <c r="O394" s="30" t="s">
        <v>404</v>
      </c>
      <c r="P394" s="39"/>
      <c r="Q394" s="39"/>
    </row>
    <row r="395" spans="1:17" x14ac:dyDescent="0.25">
      <c r="A395" s="4" t="s">
        <v>235</v>
      </c>
      <c r="B395" s="15">
        <f t="shared" si="22"/>
        <v>1041</v>
      </c>
      <c r="C395" s="15" t="str">
        <f t="shared" si="23"/>
        <v>0x00000411</v>
      </c>
      <c r="D395" s="15">
        <v>1</v>
      </c>
      <c r="E395" s="28" t="s">
        <v>336</v>
      </c>
      <c r="F395" s="15" t="s">
        <v>281</v>
      </c>
      <c r="G395" s="15" t="s">
        <v>41</v>
      </c>
      <c r="H395" s="15">
        <v>110</v>
      </c>
      <c r="I395" s="15">
        <v>120</v>
      </c>
      <c r="J395" s="15" t="str">
        <f>CONCATENATE("["&amp;Tableau1[[#This Row],[Min]]&amp;"; "&amp;Tableau1[[#This Row],[Max]]&amp;"]")</f>
        <v>[110; 120]</v>
      </c>
      <c r="K395" s="41">
        <v>120</v>
      </c>
      <c r="L395" s="47">
        <v>120</v>
      </c>
      <c r="M395" s="18" t="s">
        <v>244</v>
      </c>
      <c r="N395" s="31"/>
      <c r="O395" s="30" t="s">
        <v>404</v>
      </c>
      <c r="P395" s="39"/>
      <c r="Q395" s="39"/>
    </row>
    <row r="396" spans="1:17" x14ac:dyDescent="0.25">
      <c r="A396" s="4" t="s">
        <v>235</v>
      </c>
      <c r="B396" s="15">
        <f t="shared" si="22"/>
        <v>1042</v>
      </c>
      <c r="C396" s="15" t="str">
        <f t="shared" si="23"/>
        <v>0x00000412</v>
      </c>
      <c r="D396" s="15">
        <v>1</v>
      </c>
      <c r="E396" s="28" t="s">
        <v>337</v>
      </c>
      <c r="F396" s="15" t="s">
        <v>281</v>
      </c>
      <c r="G396" s="15" t="s">
        <v>41</v>
      </c>
      <c r="H396" s="15">
        <v>110</v>
      </c>
      <c r="I396" s="15">
        <v>120</v>
      </c>
      <c r="J396" s="15" t="str">
        <f>CONCATENATE("["&amp;Tableau1[[#This Row],[Min]]&amp;"; "&amp;Tableau1[[#This Row],[Max]]&amp;"]")</f>
        <v>[110; 120]</v>
      </c>
      <c r="K396" s="41">
        <v>120</v>
      </c>
      <c r="L396" s="47">
        <v>120</v>
      </c>
      <c r="M396" s="18" t="s">
        <v>245</v>
      </c>
      <c r="N396" s="31"/>
      <c r="O396" s="30" t="s">
        <v>404</v>
      </c>
      <c r="P396" s="39"/>
      <c r="Q396" s="39"/>
    </row>
    <row r="397" spans="1:17" x14ac:dyDescent="0.25">
      <c r="A397" s="4" t="s">
        <v>235</v>
      </c>
      <c r="B397" s="15">
        <f t="shared" si="22"/>
        <v>1043</v>
      </c>
      <c r="C397" s="15" t="str">
        <f t="shared" si="23"/>
        <v>0x00000413</v>
      </c>
      <c r="D397" s="15">
        <v>1</v>
      </c>
      <c r="E397" s="28" t="s">
        <v>338</v>
      </c>
      <c r="F397" s="15" t="s">
        <v>281</v>
      </c>
      <c r="G397" s="15" t="s">
        <v>41</v>
      </c>
      <c r="H397" s="15">
        <v>110</v>
      </c>
      <c r="I397" s="15">
        <v>120</v>
      </c>
      <c r="J397" s="15" t="str">
        <f>CONCATENATE("["&amp;Tableau1[[#This Row],[Min]]&amp;"; "&amp;Tableau1[[#This Row],[Max]]&amp;"]")</f>
        <v>[110; 120]</v>
      </c>
      <c r="K397" s="41">
        <v>120</v>
      </c>
      <c r="L397" s="47">
        <v>120</v>
      </c>
      <c r="M397" s="18" t="s">
        <v>246</v>
      </c>
      <c r="N397" s="31"/>
      <c r="O397" s="30" t="s">
        <v>404</v>
      </c>
      <c r="P397" s="39"/>
      <c r="Q397" s="39"/>
    </row>
    <row r="398" spans="1:17" x14ac:dyDescent="0.25">
      <c r="A398" s="4" t="s">
        <v>235</v>
      </c>
      <c r="B398" s="15">
        <f t="shared" si="22"/>
        <v>1044</v>
      </c>
      <c r="C398" s="15" t="str">
        <f t="shared" si="23"/>
        <v>0x00000414</v>
      </c>
      <c r="D398" s="15">
        <v>1</v>
      </c>
      <c r="E398" s="28" t="s">
        <v>339</v>
      </c>
      <c r="F398" s="15" t="s">
        <v>281</v>
      </c>
      <c r="G398" s="15" t="s">
        <v>41</v>
      </c>
      <c r="H398" s="15">
        <v>110</v>
      </c>
      <c r="I398" s="15">
        <v>120</v>
      </c>
      <c r="J398" s="15" t="str">
        <f>CONCATENATE("["&amp;Tableau1[[#This Row],[Min]]&amp;"; "&amp;Tableau1[[#This Row],[Max]]&amp;"]")</f>
        <v>[110; 120]</v>
      </c>
      <c r="K398" s="41">
        <v>120</v>
      </c>
      <c r="L398" s="47">
        <v>120</v>
      </c>
      <c r="M398" s="18" t="s">
        <v>247</v>
      </c>
      <c r="N398" s="31"/>
      <c r="O398" s="30" t="s">
        <v>404</v>
      </c>
      <c r="P398" s="39"/>
      <c r="Q398" s="39"/>
    </row>
    <row r="399" spans="1:17" x14ac:dyDescent="0.25">
      <c r="A399" s="4" t="s">
        <v>235</v>
      </c>
      <c r="B399" s="15">
        <f t="shared" si="22"/>
        <v>1045</v>
      </c>
      <c r="C399" s="15" t="str">
        <f t="shared" si="23"/>
        <v>0x00000415</v>
      </c>
      <c r="D399" s="15">
        <v>1</v>
      </c>
      <c r="E399" s="28" t="s">
        <v>340</v>
      </c>
      <c r="F399" s="15" t="s">
        <v>281</v>
      </c>
      <c r="G399" s="15" t="s">
        <v>41</v>
      </c>
      <c r="H399" s="15">
        <v>110</v>
      </c>
      <c r="I399" s="15">
        <v>120</v>
      </c>
      <c r="J399" s="15" t="str">
        <f>CONCATENATE("["&amp;Tableau1[[#This Row],[Min]]&amp;"; "&amp;Tableau1[[#This Row],[Max]]&amp;"]")</f>
        <v>[110; 120]</v>
      </c>
      <c r="K399" s="41">
        <v>120</v>
      </c>
      <c r="L399" s="47">
        <v>120</v>
      </c>
      <c r="M399" s="18" t="s">
        <v>248</v>
      </c>
      <c r="N399" s="31"/>
      <c r="O399" s="30" t="s">
        <v>404</v>
      </c>
      <c r="P399" s="39"/>
      <c r="Q399" s="39"/>
    </row>
    <row r="400" spans="1:17" x14ac:dyDescent="0.25">
      <c r="A400" s="23" t="s">
        <v>235</v>
      </c>
      <c r="B400" s="14">
        <f t="shared" si="22"/>
        <v>1046</v>
      </c>
      <c r="C400" s="14" t="str">
        <f t="shared" si="23"/>
        <v>0x00000416</v>
      </c>
      <c r="D400" s="14">
        <v>2</v>
      </c>
      <c r="E400" s="19" t="s">
        <v>35</v>
      </c>
      <c r="F400" s="14" t="s">
        <v>281</v>
      </c>
      <c r="G400" s="14" t="s">
        <v>0</v>
      </c>
      <c r="H400" s="14" t="s">
        <v>296</v>
      </c>
      <c r="I400" s="14" t="s">
        <v>296</v>
      </c>
      <c r="J400" s="14" t="s">
        <v>297</v>
      </c>
      <c r="K400" s="52">
        <v>0</v>
      </c>
      <c r="L400" s="52">
        <v>0</v>
      </c>
      <c r="M400" s="20" t="s">
        <v>250</v>
      </c>
      <c r="N400" s="33"/>
      <c r="O400" s="32" t="s">
        <v>0</v>
      </c>
      <c r="P400" s="39"/>
      <c r="Q400" s="39"/>
    </row>
    <row r="401" spans="1:17" x14ac:dyDescent="0.25">
      <c r="A401" s="4" t="s">
        <v>235</v>
      </c>
      <c r="B401" s="15">
        <f t="shared" si="22"/>
        <v>1048</v>
      </c>
      <c r="C401" s="15" t="str">
        <f t="shared" si="23"/>
        <v>0x00000418</v>
      </c>
      <c r="D401" s="15">
        <v>4</v>
      </c>
      <c r="E401" s="7" t="s">
        <v>22</v>
      </c>
      <c r="F401" s="15" t="s">
        <v>287</v>
      </c>
      <c r="G401" s="15" t="s">
        <v>37</v>
      </c>
      <c r="H401" s="22">
        <v>10</v>
      </c>
      <c r="I401" s="22">
        <v>100</v>
      </c>
      <c r="J401" s="15" t="str">
        <f>CONCATENATE("["&amp;Tableau1[[#This Row],[Min]]&amp;"; "&amp;Tableau1[[#This Row],[Max]]&amp;"]")</f>
        <v>[10; 100]</v>
      </c>
      <c r="K401" s="44">
        <v>10</v>
      </c>
      <c r="L401" s="50">
        <v>10</v>
      </c>
      <c r="M401" s="9" t="s">
        <v>44</v>
      </c>
      <c r="N401" s="31"/>
      <c r="O401" s="30" t="s">
        <v>401</v>
      </c>
      <c r="P401" s="39"/>
      <c r="Q401" s="39"/>
    </row>
    <row r="402" spans="1:17" x14ac:dyDescent="0.25">
      <c r="A402" s="4" t="s">
        <v>235</v>
      </c>
      <c r="B402" s="15">
        <f t="shared" si="22"/>
        <v>1052</v>
      </c>
      <c r="C402" s="15" t="str">
        <f t="shared" si="23"/>
        <v>0x0000041C</v>
      </c>
      <c r="D402" s="15">
        <v>4</v>
      </c>
      <c r="E402" s="7" t="s">
        <v>23</v>
      </c>
      <c r="F402" s="15" t="s">
        <v>287</v>
      </c>
      <c r="G402" s="15" t="s">
        <v>38</v>
      </c>
      <c r="H402" s="22">
        <v>5000</v>
      </c>
      <c r="I402" s="22">
        <v>15000</v>
      </c>
      <c r="J402" s="15" t="str">
        <f>CONCATENATE("["&amp;Tableau1[[#This Row],[Min]]&amp;"; "&amp;Tableau1[[#This Row],[Max]]&amp;"]")</f>
        <v>[5000; 15000]</v>
      </c>
      <c r="K402" s="45">
        <v>4920</v>
      </c>
      <c r="L402" s="51">
        <v>4920</v>
      </c>
      <c r="M402" s="9" t="s">
        <v>45</v>
      </c>
      <c r="N402" s="31"/>
      <c r="O402" s="30" t="s">
        <v>401</v>
      </c>
      <c r="P402" s="39"/>
      <c r="Q402" s="39"/>
    </row>
    <row r="403" spans="1:17" x14ac:dyDescent="0.25">
      <c r="A403" s="4" t="s">
        <v>235</v>
      </c>
      <c r="B403" s="15">
        <f t="shared" si="22"/>
        <v>1056</v>
      </c>
      <c r="C403" s="15" t="str">
        <f t="shared" si="23"/>
        <v>0x00000420</v>
      </c>
      <c r="D403" s="15">
        <v>4</v>
      </c>
      <c r="E403" s="7" t="s">
        <v>24</v>
      </c>
      <c r="F403" s="15" t="s">
        <v>287</v>
      </c>
      <c r="G403" s="15" t="s">
        <v>37</v>
      </c>
      <c r="H403" s="22">
        <v>10</v>
      </c>
      <c r="I403" s="22">
        <v>100</v>
      </c>
      <c r="J403" s="15" t="str">
        <f>CONCATENATE("["&amp;Tableau1[[#This Row],[Min]]&amp;"; "&amp;Tableau1[[#This Row],[Max]]&amp;"]")</f>
        <v>[10; 100]</v>
      </c>
      <c r="K403" s="44">
        <v>10</v>
      </c>
      <c r="L403" s="50">
        <v>10</v>
      </c>
      <c r="M403" s="9" t="s">
        <v>48</v>
      </c>
      <c r="N403" s="31"/>
      <c r="O403" s="30" t="s">
        <v>402</v>
      </c>
      <c r="P403" s="39"/>
      <c r="Q403" s="39"/>
    </row>
    <row r="404" spans="1:17" x14ac:dyDescent="0.25">
      <c r="A404" s="4" t="s">
        <v>235</v>
      </c>
      <c r="B404" s="15">
        <f t="shared" si="22"/>
        <v>1060</v>
      </c>
      <c r="C404" s="15" t="str">
        <f t="shared" si="23"/>
        <v>0x00000424</v>
      </c>
      <c r="D404" s="15">
        <v>4</v>
      </c>
      <c r="E404" s="7" t="s">
        <v>25</v>
      </c>
      <c r="F404" s="15" t="s">
        <v>287</v>
      </c>
      <c r="G404" s="15" t="s">
        <v>38</v>
      </c>
      <c r="H404" s="22">
        <v>5000</v>
      </c>
      <c r="I404" s="22">
        <v>15000</v>
      </c>
      <c r="J404" s="15" t="str">
        <f>CONCATENATE("["&amp;Tableau1[[#This Row],[Min]]&amp;"; "&amp;Tableau1[[#This Row],[Max]]&amp;"]")</f>
        <v>[5000; 15000]</v>
      </c>
      <c r="K404" s="45">
        <v>4920</v>
      </c>
      <c r="L404" s="51">
        <v>4920</v>
      </c>
      <c r="M404" s="9" t="s">
        <v>49</v>
      </c>
      <c r="N404" s="31"/>
      <c r="O404" s="30" t="s">
        <v>402</v>
      </c>
      <c r="P404" s="39"/>
      <c r="Q404" s="39"/>
    </row>
    <row r="405" spans="1:17" x14ac:dyDescent="0.25">
      <c r="A405" s="4" t="s">
        <v>235</v>
      </c>
      <c r="B405" s="15">
        <f t="shared" si="22"/>
        <v>1064</v>
      </c>
      <c r="C405" s="15" t="str">
        <f t="shared" si="23"/>
        <v>0x00000428</v>
      </c>
      <c r="D405" s="15">
        <v>4</v>
      </c>
      <c r="E405" s="7" t="s">
        <v>27</v>
      </c>
      <c r="F405" s="15" t="s">
        <v>287</v>
      </c>
      <c r="G405" s="15" t="s">
        <v>37</v>
      </c>
      <c r="H405" s="22">
        <v>10</v>
      </c>
      <c r="I405" s="22">
        <v>100</v>
      </c>
      <c r="J405" s="15" t="str">
        <f>CONCATENATE("["&amp;Tableau1[[#This Row],[Min]]&amp;"; "&amp;Tableau1[[#This Row],[Max]]&amp;"]")</f>
        <v>[10; 100]</v>
      </c>
      <c r="K405" s="44">
        <v>49</v>
      </c>
      <c r="L405" s="50">
        <v>49</v>
      </c>
      <c r="M405" s="9" t="s">
        <v>54</v>
      </c>
      <c r="N405" s="31"/>
      <c r="O405" s="30" t="s">
        <v>397</v>
      </c>
      <c r="P405" s="39"/>
      <c r="Q405" s="39"/>
    </row>
    <row r="406" spans="1:17" x14ac:dyDescent="0.25">
      <c r="A406" s="4" t="s">
        <v>235</v>
      </c>
      <c r="B406" s="15">
        <f t="shared" si="22"/>
        <v>1068</v>
      </c>
      <c r="C406" s="15" t="str">
        <f t="shared" si="23"/>
        <v>0x0000042C</v>
      </c>
      <c r="D406" s="15">
        <v>4</v>
      </c>
      <c r="E406" s="7" t="s">
        <v>28</v>
      </c>
      <c r="F406" s="15" t="s">
        <v>287</v>
      </c>
      <c r="G406" s="15" t="s">
        <v>38</v>
      </c>
      <c r="H406" s="22">
        <v>5000</v>
      </c>
      <c r="I406" s="22">
        <v>15000</v>
      </c>
      <c r="J406" s="15" t="str">
        <f>CONCATENATE("["&amp;Tableau1[[#This Row],[Min]]&amp;"; "&amp;Tableau1[[#This Row],[Max]]&amp;"]")</f>
        <v>[5000; 15000]</v>
      </c>
      <c r="K406" s="44">
        <v>6500</v>
      </c>
      <c r="L406" s="50">
        <v>6500</v>
      </c>
      <c r="M406" s="9" t="s">
        <v>55</v>
      </c>
      <c r="N406" s="31"/>
      <c r="O406" s="30" t="s">
        <v>397</v>
      </c>
      <c r="P406" s="39"/>
      <c r="Q406" s="39"/>
    </row>
    <row r="407" spans="1:17" x14ac:dyDescent="0.25">
      <c r="A407" s="4" t="s">
        <v>235</v>
      </c>
      <c r="B407" s="15">
        <f t="shared" si="22"/>
        <v>1072</v>
      </c>
      <c r="C407" s="15" t="str">
        <f t="shared" si="23"/>
        <v>0x00000430</v>
      </c>
      <c r="D407" s="15">
        <v>4</v>
      </c>
      <c r="E407" s="7" t="s">
        <v>29</v>
      </c>
      <c r="F407" s="15" t="s">
        <v>287</v>
      </c>
      <c r="G407" s="15" t="s">
        <v>37</v>
      </c>
      <c r="H407" s="22">
        <v>10</v>
      </c>
      <c r="I407" s="22">
        <v>100</v>
      </c>
      <c r="J407" s="15" t="str">
        <f>CONCATENATE("["&amp;Tableau1[[#This Row],[Min]]&amp;"; "&amp;Tableau1[[#This Row],[Max]]&amp;"]")</f>
        <v>[10; 100]</v>
      </c>
      <c r="K407" s="44">
        <v>49</v>
      </c>
      <c r="L407" s="50">
        <v>49</v>
      </c>
      <c r="M407" s="9" t="s">
        <v>56</v>
      </c>
      <c r="N407" s="31"/>
      <c r="O407" s="30" t="s">
        <v>398</v>
      </c>
      <c r="P407" s="39"/>
      <c r="Q407" s="39"/>
    </row>
    <row r="408" spans="1:17" x14ac:dyDescent="0.25">
      <c r="A408" s="4" t="s">
        <v>235</v>
      </c>
      <c r="B408" s="15">
        <f t="shared" si="22"/>
        <v>1076</v>
      </c>
      <c r="C408" s="15" t="str">
        <f t="shared" si="23"/>
        <v>0x00000434</v>
      </c>
      <c r="D408" s="15">
        <v>4</v>
      </c>
      <c r="E408" s="7" t="s">
        <v>30</v>
      </c>
      <c r="F408" s="15" t="s">
        <v>287</v>
      </c>
      <c r="G408" s="15" t="s">
        <v>38</v>
      </c>
      <c r="H408" s="22">
        <v>5000</v>
      </c>
      <c r="I408" s="22">
        <v>15000</v>
      </c>
      <c r="J408" s="15" t="str">
        <f>CONCATENATE("["&amp;Tableau1[[#This Row],[Min]]&amp;"; "&amp;Tableau1[[#This Row],[Max]]&amp;"]")</f>
        <v>[5000; 15000]</v>
      </c>
      <c r="K408" s="44">
        <v>6500</v>
      </c>
      <c r="L408" s="50">
        <v>6500</v>
      </c>
      <c r="M408" s="9" t="s">
        <v>57</v>
      </c>
      <c r="N408" s="31"/>
      <c r="O408" s="30" t="s">
        <v>398</v>
      </c>
      <c r="P408" s="39"/>
      <c r="Q408" s="39"/>
    </row>
    <row r="409" spans="1:17" x14ac:dyDescent="0.25">
      <c r="A409" s="4" t="s">
        <v>235</v>
      </c>
      <c r="B409" s="15">
        <f t="shared" si="22"/>
        <v>1080</v>
      </c>
      <c r="C409" s="15" t="str">
        <f t="shared" si="23"/>
        <v>0x00000438</v>
      </c>
      <c r="D409" s="15">
        <v>4</v>
      </c>
      <c r="E409" s="7" t="s">
        <v>26</v>
      </c>
      <c r="F409" s="15" t="s">
        <v>287</v>
      </c>
      <c r="G409" s="15" t="s">
        <v>39</v>
      </c>
      <c r="H409" s="22">
        <v>100</v>
      </c>
      <c r="I409" s="22">
        <v>130</v>
      </c>
      <c r="J409" s="15" t="str">
        <f>CONCATENATE("["&amp;Tableau1[[#This Row],[Min]]&amp;"; "&amp;Tableau1[[#This Row],[Max]]&amp;"]")</f>
        <v>[100; 130]</v>
      </c>
      <c r="K409" s="44">
        <v>120</v>
      </c>
      <c r="L409" s="50">
        <v>120</v>
      </c>
      <c r="M409" s="9" t="s">
        <v>59</v>
      </c>
      <c r="N409" s="31"/>
      <c r="O409" s="30" t="s">
        <v>405</v>
      </c>
      <c r="P409" s="39"/>
      <c r="Q409" s="39"/>
    </row>
    <row r="410" spans="1:17" x14ac:dyDescent="0.25">
      <c r="A410" s="4" t="s">
        <v>235</v>
      </c>
      <c r="B410" s="15">
        <f t="shared" si="22"/>
        <v>1084</v>
      </c>
      <c r="C410" s="15" t="str">
        <f t="shared" si="23"/>
        <v>0x0000043C</v>
      </c>
      <c r="D410" s="15">
        <v>4</v>
      </c>
      <c r="E410" s="7" t="s">
        <v>31</v>
      </c>
      <c r="F410" s="15" t="s">
        <v>287</v>
      </c>
      <c r="G410" s="15" t="s">
        <v>39</v>
      </c>
      <c r="H410" s="22">
        <v>5</v>
      </c>
      <c r="I410" s="22">
        <v>30</v>
      </c>
      <c r="J410" s="15" t="str">
        <f>CONCATENATE("["&amp;Tableau1[[#This Row],[Min]]&amp;"; "&amp;Tableau1[[#This Row],[Max]]&amp;"]")</f>
        <v>[5; 30]</v>
      </c>
      <c r="K410" s="44">
        <v>10</v>
      </c>
      <c r="L410" s="50">
        <v>10</v>
      </c>
      <c r="M410" s="9" t="s">
        <v>60</v>
      </c>
      <c r="N410" s="31"/>
      <c r="O410" s="30" t="s">
        <v>399</v>
      </c>
      <c r="P410" s="39"/>
      <c r="Q410" s="39"/>
    </row>
    <row r="411" spans="1:17" x14ac:dyDescent="0.25">
      <c r="A411" s="4" t="s">
        <v>235</v>
      </c>
      <c r="B411" s="15">
        <f t="shared" si="22"/>
        <v>1088</v>
      </c>
      <c r="C411" s="15" t="str">
        <f t="shared" si="23"/>
        <v>0x00000440</v>
      </c>
      <c r="D411" s="15">
        <v>4</v>
      </c>
      <c r="E411" s="7" t="s">
        <v>32</v>
      </c>
      <c r="F411" s="15" t="s">
        <v>287</v>
      </c>
      <c r="G411" s="15" t="s">
        <v>40</v>
      </c>
      <c r="H411" s="22">
        <v>100</v>
      </c>
      <c r="I411" s="22">
        <v>115</v>
      </c>
      <c r="J411" s="15" t="str">
        <f>CONCATENATE("["&amp;Tableau1[[#This Row],[Min]]&amp;"; "&amp;Tableau1[[#This Row],[Max]]&amp;"]")</f>
        <v>[100; 115]</v>
      </c>
      <c r="K411" s="44">
        <v>100</v>
      </c>
      <c r="L411" s="50">
        <v>100</v>
      </c>
      <c r="M411" s="9" t="s">
        <v>61</v>
      </c>
      <c r="N411" s="31"/>
      <c r="O411" s="30" t="s">
        <v>403</v>
      </c>
      <c r="P411" s="39"/>
      <c r="Q411" s="39"/>
    </row>
    <row r="412" spans="1:17" x14ac:dyDescent="0.25">
      <c r="A412" s="4" t="s">
        <v>235</v>
      </c>
      <c r="B412" s="15">
        <f t="shared" si="22"/>
        <v>1092</v>
      </c>
      <c r="C412" s="15" t="str">
        <f t="shared" si="23"/>
        <v>0x00000444</v>
      </c>
      <c r="D412" s="15">
        <v>4</v>
      </c>
      <c r="E412" s="7" t="s">
        <v>33</v>
      </c>
      <c r="F412" s="15" t="s">
        <v>287</v>
      </c>
      <c r="G412" s="15" t="s">
        <v>40</v>
      </c>
      <c r="H412" s="22">
        <v>5</v>
      </c>
      <c r="I412" s="22">
        <v>15</v>
      </c>
      <c r="J412" s="15" t="str">
        <f>CONCATENATE("["&amp;Tableau1[[#This Row],[Min]]&amp;"; "&amp;Tableau1[[#This Row],[Max]]&amp;"]")</f>
        <v>[5; 15]</v>
      </c>
      <c r="K412" s="44">
        <v>5</v>
      </c>
      <c r="L412" s="50">
        <v>5</v>
      </c>
      <c r="M412" s="9" t="s">
        <v>62</v>
      </c>
      <c r="N412" s="31"/>
      <c r="O412" s="30" t="s">
        <v>403</v>
      </c>
      <c r="P412" s="39"/>
      <c r="Q412" s="39"/>
    </row>
    <row r="413" spans="1:17" x14ac:dyDescent="0.25">
      <c r="A413" s="23" t="s">
        <v>235</v>
      </c>
      <c r="B413" s="14">
        <f t="shared" si="22"/>
        <v>1096</v>
      </c>
      <c r="C413" s="14" t="str">
        <f t="shared" si="23"/>
        <v>0x00000448</v>
      </c>
      <c r="D413" s="14">
        <v>38</v>
      </c>
      <c r="E413" s="19" t="s">
        <v>35</v>
      </c>
      <c r="F413" s="14" t="s">
        <v>281</v>
      </c>
      <c r="G413" s="14" t="s">
        <v>0</v>
      </c>
      <c r="H413" s="14" t="s">
        <v>478</v>
      </c>
      <c r="I413" s="14" t="s">
        <v>478</v>
      </c>
      <c r="J413" s="14" t="s">
        <v>479</v>
      </c>
      <c r="K413" s="52" t="s">
        <v>478</v>
      </c>
      <c r="L413" s="52" t="s">
        <v>478</v>
      </c>
      <c r="M413" s="20" t="s">
        <v>271</v>
      </c>
      <c r="N413" s="33"/>
      <c r="O413" s="32" t="s">
        <v>0</v>
      </c>
      <c r="P413" s="39"/>
      <c r="Q413" s="39"/>
    </row>
    <row r="414" spans="1:17" x14ac:dyDescent="0.25">
      <c r="A414" s="4" t="s">
        <v>235</v>
      </c>
      <c r="B414" s="15">
        <f t="shared" si="22"/>
        <v>1134</v>
      </c>
      <c r="C414" s="15" t="str">
        <f>CONCATENATE("0x",DEC2HEX(B414,8))</f>
        <v>0x0000046E</v>
      </c>
      <c r="D414" s="15">
        <v>2</v>
      </c>
      <c r="E414" s="7" t="s">
        <v>253</v>
      </c>
      <c r="F414" s="15" t="s">
        <v>283</v>
      </c>
      <c r="G414" s="15" t="s">
        <v>0</v>
      </c>
      <c r="H414" s="15" t="s">
        <v>65</v>
      </c>
      <c r="I414" s="15" t="s">
        <v>66</v>
      </c>
      <c r="J414" s="15" t="str">
        <f>CONCATENATE("["&amp;Tableau1[[#This Row],[Min]]&amp;"; "&amp;Tableau1[[#This Row],[Max]]&amp;"]")</f>
        <v>[0x0000; 0xFFFF]</v>
      </c>
      <c r="K414" s="41" t="s">
        <v>412</v>
      </c>
      <c r="L414" s="47" t="s">
        <v>412</v>
      </c>
      <c r="M414" s="9" t="s">
        <v>254</v>
      </c>
      <c r="N414" s="31"/>
      <c r="O414" s="30" t="s">
        <v>0</v>
      </c>
      <c r="P414" s="39"/>
      <c r="Q414" s="39"/>
    </row>
    <row r="415" spans="1:17" x14ac:dyDescent="0.25">
      <c r="A415" s="5" t="s">
        <v>252</v>
      </c>
      <c r="B415" s="15">
        <f t="shared" ref="B415" si="24">B414+D414</f>
        <v>1136</v>
      </c>
      <c r="C415" s="15" t="str">
        <f>CONCATENATE("0x",DEC2HEX(B415,8))</f>
        <v>0x00000470</v>
      </c>
      <c r="D415" s="15">
        <v>4</v>
      </c>
      <c r="E415" s="7" t="s">
        <v>193</v>
      </c>
      <c r="F415" s="15" t="s">
        <v>285</v>
      </c>
      <c r="G415" s="15" t="s">
        <v>0</v>
      </c>
      <c r="H415" s="15" t="s">
        <v>192</v>
      </c>
      <c r="I415" s="15" t="s">
        <v>164</v>
      </c>
      <c r="J415" s="15" t="str">
        <f>CONCATENATE("["&amp;Tableau1[[#This Row],[Min]]&amp;"; "&amp;Tableau1[[#This Row],[Max]]&amp;"]")</f>
        <v>[0x00000000; 0xFFFFFFFF]</v>
      </c>
      <c r="K415" s="41">
        <v>0</v>
      </c>
      <c r="L415" s="47">
        <v>0</v>
      </c>
      <c r="M415" s="9" t="s">
        <v>249</v>
      </c>
      <c r="N415" s="31"/>
      <c r="O415" s="30" t="s">
        <v>0</v>
      </c>
      <c r="P415" s="39"/>
      <c r="Q415" s="39"/>
    </row>
  </sheetData>
  <dataConsolidate/>
  <pageMargins left="0.7" right="0.7" top="0.75" bottom="0.75" header="0.3" footer="0.3"/>
  <pageSetup paperSize="9" orientation="portrait" r:id="rId1"/>
  <headerFooter>
    <oddHeader>&amp;C&amp;"Calibri"&amp;10&amp;KFF8C00C2 - Confidential&amp;1#_x000D_&amp;"Calibri"&amp;11&amp;K000000&amp;KFF9900C2 - Restricted</oddHeader>
  </headerFooter>
  <ignoredErrors>
    <ignoredError sqref="B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oss_conf_header_file_gen" altText="Generate oss_conf_public.h">
                <anchor moveWithCells="1" sizeWithCells="1">
                  <from>
                    <xdr:col>4</xdr:col>
                    <xdr:colOff>171450</xdr:colOff>
                    <xdr:row>0</xdr:row>
                    <xdr:rowOff>57150</xdr:rowOff>
                  </from>
                  <to>
                    <xdr:col>4</xdr:col>
                    <xdr:colOff>2190750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Data!$A$2:$A$10</xm:f>
          </x14:formula1>
          <xm:sqref>F2:F415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10"/>
  <sheetViews>
    <sheetView workbookViewId="0">
      <selection activeCell="A4" sqref="A4"/>
    </sheetView>
  </sheetViews>
  <sheetFormatPr baseColWidth="10" defaultRowHeight="15" x14ac:dyDescent="0.25"/>
  <cols>
    <col min="1" max="1" width="15.5703125" customWidth="1"/>
  </cols>
  <sheetData>
    <row r="1" spans="1:1" x14ac:dyDescent="0.25">
      <c r="A1" t="s">
        <v>2</v>
      </c>
    </row>
    <row r="2" spans="1:1" x14ac:dyDescent="0.25">
      <c r="A2" t="s">
        <v>282</v>
      </c>
    </row>
    <row r="3" spans="1:1" x14ac:dyDescent="0.25">
      <c r="A3" t="s">
        <v>281</v>
      </c>
    </row>
    <row r="4" spans="1:1" x14ac:dyDescent="0.25">
      <c r="A4" t="s">
        <v>406</v>
      </c>
    </row>
    <row r="5" spans="1:1" x14ac:dyDescent="0.25">
      <c r="A5" t="s">
        <v>284</v>
      </c>
    </row>
    <row r="6" spans="1:1" x14ac:dyDescent="0.25">
      <c r="A6" t="s">
        <v>283</v>
      </c>
    </row>
    <row r="7" spans="1:1" x14ac:dyDescent="0.25">
      <c r="A7" t="s">
        <v>286</v>
      </c>
    </row>
    <row r="8" spans="1:1" x14ac:dyDescent="0.25">
      <c r="A8" t="s">
        <v>285</v>
      </c>
    </row>
    <row r="9" spans="1:1" x14ac:dyDescent="0.25">
      <c r="A9" t="s">
        <v>287</v>
      </c>
    </row>
    <row r="10" spans="1:1" x14ac:dyDescent="0.25">
      <c r="A10" t="s">
        <v>288</v>
      </c>
    </row>
  </sheetData>
  <sortState ref="A2:C9">
    <sortCondition ref="B2:B9"/>
  </sortState>
  <pageMargins left="0.7" right="0.7" top="0.75" bottom="0.75" header="0.3" footer="0.3"/>
  <pageSetup paperSize="9" orientation="portrait" r:id="rId1"/>
  <headerFooter>
    <oddHeader>&amp;C&amp;"Calibri"&amp;10&amp;KFF8C00C2 - Confidential&amp;1#_x000D_&amp;"Calibri"&amp;11&amp;K000000&amp;KFF9900C2 - Restricted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OSS_CONF_Definition_Mapping</vt:lpstr>
      <vt:lpstr>Data</vt:lpstr>
    </vt:vector>
  </TitlesOfParts>
  <Company>Safran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DURAND Cyrille (SAFRAN ELECTRONICS &amp; DEFENSE)</dc:creator>
  <cp:lastModifiedBy>MENEZ Thomas (SAFRAN ELECTRONICS &amp; DEFENSE)</cp:lastModifiedBy>
  <dcterms:created xsi:type="dcterms:W3CDTF">2021-12-06T10:07:00Z</dcterms:created>
  <dcterms:modified xsi:type="dcterms:W3CDTF">2022-10-18T13:31:17Z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a7acfc17-d580-4c33-8a79-179ea994f142</vt:lpwstr>
  </property>
  <property fmtid="{D5CDD505-2E9C-101B-9397-08002B2CF9AE}" pid="3" name="Confidentiality">
    <vt:lpwstr>C2</vt:lpwstr>
  </property>
  <property fmtid="{D5CDD505-2E9C-101B-9397-08002B2CF9AE}" pid="4" name="NationalSecret">
    <vt:lpwstr>NONS</vt:lpwstr>
  </property>
  <property fmtid="{D5CDD505-2E9C-101B-9397-08002B2CF9AE}" pid="5" name="ExportControl">
    <vt:lpwstr/>
  </property>
  <property fmtid="{D5CDD505-2E9C-101B-9397-08002B2CF9AE}" pid="6" name="MSIP_Label_024ffcea-f25b-491e-9dc9-834516f3550e_Enabled">
    <vt:lpwstr>true</vt:lpwstr>
  </property>
  <property fmtid="{D5CDD505-2E9C-101B-9397-08002B2CF9AE}" pid="7" name="MSIP_Label_024ffcea-f25b-491e-9dc9-834516f3550e_SetDate">
    <vt:lpwstr>2022-10-18T13:31:17Z</vt:lpwstr>
  </property>
  <property fmtid="{D5CDD505-2E9C-101B-9397-08002B2CF9AE}" pid="8" name="MSIP_Label_024ffcea-f25b-491e-9dc9-834516f3550e_Method">
    <vt:lpwstr>Standard</vt:lpwstr>
  </property>
  <property fmtid="{D5CDD505-2E9C-101B-9397-08002B2CF9AE}" pid="9" name="MSIP_Label_024ffcea-f25b-491e-9dc9-834516f3550e_Name">
    <vt:lpwstr>C2 - restricted</vt:lpwstr>
  </property>
  <property fmtid="{D5CDD505-2E9C-101B-9397-08002B2CF9AE}" pid="10" name="MSIP_Label_024ffcea-f25b-491e-9dc9-834516f3550e_SiteId">
    <vt:lpwstr>d52b49b7-0c8f-4d89-8c4f-f20517306e08</vt:lpwstr>
  </property>
  <property fmtid="{D5CDD505-2E9C-101B-9397-08002B2CF9AE}" pid="11" name="MSIP_Label_024ffcea-f25b-491e-9dc9-834516f3550e_ActionId">
    <vt:lpwstr>a352c15f-41ad-4f53-b4a8-c79f3ce8b6a4</vt:lpwstr>
  </property>
  <property fmtid="{D5CDD505-2E9C-101B-9397-08002B2CF9AE}" pid="12" name="MSIP_Label_024ffcea-f25b-491e-9dc9-834516f3550e_ContentBits">
    <vt:lpwstr>1</vt:lpwstr>
  </property>
</Properties>
</file>